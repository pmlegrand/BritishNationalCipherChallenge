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1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4" hidden="1">Sheet5!$I$4:$J$12</definedName>
  </definedNames>
  <calcPr calcId="145621"/>
</workbook>
</file>

<file path=xl/calcChain.xml><?xml version="1.0" encoding="utf-8"?>
<calcChain xmlns="http://schemas.openxmlformats.org/spreadsheetml/2006/main">
  <c r="X35" i="1" l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X9" i="1"/>
  <c r="N12" i="5" l="1"/>
  <c r="N11" i="5"/>
  <c r="N10" i="5"/>
  <c r="N9" i="5"/>
  <c r="N8" i="5"/>
  <c r="N7" i="5"/>
  <c r="N6" i="5"/>
  <c r="N5" i="5"/>
  <c r="N4" i="5"/>
  <c r="J10" i="5"/>
  <c r="J9" i="5"/>
  <c r="J8" i="5"/>
  <c r="J7" i="5"/>
  <c r="J11" i="5"/>
  <c r="J6" i="5"/>
  <c r="J12" i="5"/>
  <c r="J4" i="5"/>
  <c r="J5" i="5"/>
  <c r="K12" i="5"/>
  <c r="L12" i="5"/>
  <c r="K11" i="5"/>
  <c r="L11" i="5"/>
  <c r="K10" i="5"/>
  <c r="L10" i="5"/>
  <c r="K9" i="5"/>
  <c r="L9" i="5"/>
  <c r="D6" i="5"/>
  <c r="F8" i="5"/>
  <c r="D4" i="5"/>
  <c r="F7" i="5"/>
  <c r="D5" i="5"/>
  <c r="F12" i="5"/>
  <c r="D12" i="5"/>
  <c r="F5" i="5"/>
  <c r="D8" i="5"/>
  <c r="F9" i="5"/>
  <c r="D7" i="5"/>
  <c r="F10" i="5"/>
  <c r="D9" i="5"/>
  <c r="F4" i="5"/>
  <c r="D11" i="5"/>
  <c r="F11" i="5"/>
  <c r="D10" i="5"/>
  <c r="F6" i="5"/>
  <c r="B6" i="5"/>
  <c r="B10" i="5"/>
  <c r="B7" i="5"/>
  <c r="B11" i="5"/>
  <c r="B9" i="5"/>
  <c r="B5" i="5"/>
  <c r="B8" i="5"/>
  <c r="B4" i="5"/>
  <c r="B12" i="5"/>
  <c r="K5" i="5"/>
  <c r="L5" i="5"/>
  <c r="K6" i="5"/>
  <c r="L6" i="5"/>
  <c r="K7" i="5"/>
  <c r="L7" i="5"/>
  <c r="K8" i="5"/>
  <c r="L8" i="5"/>
  <c r="L4" i="5"/>
  <c r="K4" i="5"/>
  <c r="A41" i="4"/>
  <c r="B41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A42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A43" i="4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A44" i="4"/>
  <c r="B44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A40" i="4"/>
  <c r="B40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A39" i="4"/>
  <c r="Q12" i="4"/>
  <c r="R12" i="4"/>
  <c r="S12" i="4"/>
  <c r="S11" i="4"/>
  <c r="R11" i="4"/>
  <c r="Q11" i="4"/>
  <c r="E10" i="1" l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T46" i="3"/>
  <c r="S46" i="3"/>
  <c r="R46" i="3"/>
  <c r="Q46" i="3"/>
  <c r="P46" i="3"/>
  <c r="T45" i="3"/>
  <c r="S45" i="3"/>
  <c r="R45" i="3"/>
  <c r="Q45" i="3"/>
  <c r="P45" i="3"/>
  <c r="T44" i="3"/>
  <c r="S44" i="3"/>
  <c r="R44" i="3"/>
  <c r="Q44" i="3"/>
  <c r="P44" i="3"/>
  <c r="T43" i="3"/>
  <c r="S43" i="3"/>
  <c r="R43" i="3"/>
  <c r="Q43" i="3"/>
  <c r="P43" i="3"/>
  <c r="T42" i="3"/>
  <c r="S42" i="3"/>
  <c r="R42" i="3"/>
  <c r="Q42" i="3"/>
  <c r="P42" i="3"/>
  <c r="T41" i="3"/>
  <c r="S41" i="3"/>
  <c r="R41" i="3"/>
  <c r="Q41" i="3"/>
  <c r="P41" i="3"/>
  <c r="T40" i="3"/>
  <c r="S40" i="3"/>
  <c r="R40" i="3"/>
  <c r="Q40" i="3"/>
  <c r="P40" i="3"/>
  <c r="T39" i="3"/>
  <c r="S39" i="3"/>
  <c r="R39" i="3"/>
  <c r="Q39" i="3"/>
  <c r="P39" i="3"/>
  <c r="Q16" i="3"/>
  <c r="R16" i="3"/>
  <c r="S16" i="3"/>
  <c r="T16" i="3"/>
  <c r="Q17" i="3"/>
  <c r="R17" i="3"/>
  <c r="S17" i="3"/>
  <c r="T17" i="3"/>
  <c r="Q18" i="3"/>
  <c r="R18" i="3"/>
  <c r="S18" i="3"/>
  <c r="T18" i="3"/>
  <c r="Q19" i="3"/>
  <c r="R19" i="3"/>
  <c r="S19" i="3"/>
  <c r="T19" i="3"/>
  <c r="Q20" i="3"/>
  <c r="R20" i="3"/>
  <c r="S20" i="3"/>
  <c r="T20" i="3"/>
  <c r="Q21" i="3"/>
  <c r="R21" i="3"/>
  <c r="S21" i="3"/>
  <c r="T21" i="3"/>
  <c r="Q22" i="3"/>
  <c r="R22" i="3"/>
  <c r="S22" i="3"/>
  <c r="T22" i="3"/>
  <c r="T15" i="3"/>
  <c r="S15" i="3"/>
  <c r="R15" i="3"/>
  <c r="Q15" i="3"/>
  <c r="P16" i="3"/>
  <c r="P17" i="3"/>
  <c r="P18" i="3"/>
  <c r="P19" i="3"/>
  <c r="P20" i="3"/>
  <c r="P21" i="3"/>
  <c r="P22" i="3"/>
  <c r="P15" i="3"/>
  <c r="E9" i="1"/>
  <c r="U21" i="3" l="1"/>
  <c r="U40" i="3"/>
  <c r="Y40" i="3"/>
  <c r="X41" i="3"/>
  <c r="W42" i="3"/>
  <c r="V43" i="3"/>
  <c r="U44" i="3"/>
  <c r="Y44" i="3"/>
  <c r="X45" i="3"/>
  <c r="W46" i="3"/>
  <c r="U16" i="3"/>
  <c r="Y17" i="3"/>
  <c r="V20" i="3"/>
  <c r="W39" i="3"/>
  <c r="Y45" i="3"/>
  <c r="X39" i="3"/>
  <c r="X22" i="3"/>
  <c r="W19" i="3"/>
  <c r="V16" i="3"/>
  <c r="X15" i="3"/>
  <c r="U17" i="3"/>
  <c r="Y41" i="3"/>
  <c r="Y21" i="3"/>
  <c r="X18" i="3"/>
  <c r="Y39" i="3"/>
  <c r="Y43" i="3"/>
  <c r="B40" i="1"/>
  <c r="W22" i="3"/>
  <c r="Y20" i="3"/>
  <c r="U20" i="3"/>
  <c r="W18" i="3"/>
  <c r="Y16" i="3"/>
  <c r="V40" i="3"/>
  <c r="U41" i="3"/>
  <c r="X42" i="3"/>
  <c r="V44" i="3"/>
  <c r="U15" i="3"/>
  <c r="V15" i="3"/>
  <c r="V22" i="3"/>
  <c r="W21" i="3"/>
  <c r="X20" i="3"/>
  <c r="Y19" i="3"/>
  <c r="U19" i="3"/>
  <c r="V18" i="3"/>
  <c r="W17" i="3"/>
  <c r="X16" i="3"/>
  <c r="U39" i="3"/>
  <c r="W40" i="3"/>
  <c r="V41" i="3"/>
  <c r="U42" i="3"/>
  <c r="Y42" i="3"/>
  <c r="X43" i="3"/>
  <c r="W44" i="3"/>
  <c r="V45" i="3"/>
  <c r="U46" i="3"/>
  <c r="Y46" i="3"/>
  <c r="W15" i="3"/>
  <c r="X21" i="3"/>
  <c r="V19" i="3"/>
  <c r="X17" i="3"/>
  <c r="W43" i="3"/>
  <c r="U45" i="3"/>
  <c r="X46" i="3"/>
  <c r="Y15" i="3"/>
  <c r="Y22" i="3"/>
  <c r="U22" i="3"/>
  <c r="V21" i="3"/>
  <c r="W20" i="3"/>
  <c r="X19" i="3"/>
  <c r="Y18" i="3"/>
  <c r="U18" i="3"/>
  <c r="V17" i="3"/>
  <c r="W16" i="3"/>
  <c r="V39" i="3"/>
  <c r="X40" i="3"/>
  <c r="W41" i="3"/>
  <c r="V42" i="3"/>
  <c r="U43" i="3"/>
  <c r="X44" i="3"/>
  <c r="W45" i="3"/>
  <c r="V46" i="3"/>
  <c r="D38" i="1"/>
  <c r="C38" i="1"/>
  <c r="B38" i="1"/>
  <c r="H6" i="5"/>
  <c r="H7" i="5"/>
  <c r="H5" i="5"/>
  <c r="H11" i="5"/>
  <c r="H12" i="5"/>
  <c r="H10" i="5"/>
  <c r="H8" i="5"/>
  <c r="H4" i="5"/>
  <c r="H9" i="5"/>
</calcChain>
</file>

<file path=xl/sharedStrings.xml><?xml version="1.0" encoding="utf-8"?>
<sst xmlns="http://schemas.openxmlformats.org/spreadsheetml/2006/main" count="1210" uniqueCount="174">
  <si>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</si>
  <si>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</si>
  <si>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</si>
  <si>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</si>
  <si>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</si>
  <si>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</si>
  <si>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</si>
  <si>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</si>
  <si>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</si>
  <si>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</si>
  <si>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</si>
  <si>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</si>
  <si>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</si>
  <si>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</si>
  <si>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</si>
  <si>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</si>
  <si>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</si>
  <si>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</si>
  <si>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</si>
  <si>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</si>
  <si>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</si>
  <si>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</si>
  <si>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</si>
  <si>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</si>
  <si>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</si>
  <si>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</si>
  <si>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Letter</t>
  </si>
  <si>
    <t>WJXSUEIXNSONDHZDUFZ9LKUYTLVLGWSBBATXWDJMLUWFRO9CHQVHODZRGKTEUUBDTQXPSELVMDSGBNDVAIOLQY9NRZEUXXSOOXTDWKCZTLMUTHWGW9AJXNZYVTYMWSQTXGULPWOQIPFSUVKUSNPYFPOGOVTIWXDDFVB9SWCLXO9QFTPUWSAAVTBFAEQK9ABQXOWKNWWFYWLESPZGOSOUNRQWBNDVRJLZEGQWLPQXDS9IOXMCXUDMMLBNZYX9BMQENKPLDUWMEDSLAJWVDAQFWLKPVCLASQIPFSUUKXZLTXUPOUOVTSUKDTZUCLYPVSFCWGX9XVUXIMD9AAZO9DCEYWNMKXOTKMARBLPVEKWDVFNZRIILLJI9HVTSWKUUDSNZPOYTDRZWBJMMXARZENSTTUVOWDBHWFRYJKKALWNAMZEAOUBKXAQWGXREAJSKLVGMPLAITOAHNTSZYGNUDUCBFEFIXWAIUILEHNBYTYUIDEEUTCAWWHBARBCHINDXSBKOWDBEGTCAWUIDVWGWIMWGX9HIOXFREOBRJWGIHIVBNZYYYFEGOKFPFYUXTSTZTV9JXGMOLQWKOU9NSVVRAAAUSDXNWGLYTV9DOBJUUITYWDAXNONDAWVNVOZUCKQOQLSUO9BSQOVFY9EOXLHJUHKEXUVGLQWIAPWJFGJTHNXIKOALCCOXTSWGXRQFYXZHIDFUQENXWOWBTXQAEBOBQVXTRXUNITYVHADVMCAXLWNFRFZXCSTJFDWXTWMPFIXJOSLIASQKKZCILFOFUBMAKQHDSZWJWRJMUXFSVNBDUWCNZYJDHQSVBOXTEOVEGUOKWDVFLAWOGWDVVEHADQGGZSACKQZVQUGAQJDAHPXGOZAVBL9DBWDVVENVOOUBETJPNZRIILLJISHWOEVWLRGNWKTQZDPOEWAQXLUFKSEQLRWUCLEOIVHASFXAVTVUXMMUHCMEOYYXNDBTZEELHQSOYYAMTHNFY9WBZPJENDSTIBBCQJUUAHMNPIEQWGJOYYZ9DDWANBEDDCUTUUAQJJXMBOUOTVSTARO9NEYO9NELSBPWLUCBDESHCAEWGXYHRAXZPLVFBTOWGZESBRXEEQLRWWEMXSXUVQEUUFB9VONJGI9UMQQRKFYSNXYTVVWOOMZKKOILHQSVSLEHXUDMQUPFRRZUTNZXNMQZVQUGAO9FRDVWNNRWVGDSIUHMZYQYESGNBMKHRWLLUOXXMNUGXEEQDPMFJWMWVSLEHAGRJLWJX9RQCKUF9NNFHVQFRJUHNLYNCYDDUSFFTUWUUA9OMPOXUKKSWHFERZUXCUTJFXJTRNZPIIXAAURWGJWIXSBWVXSBOGFRGAEKOAKNWATVUMFAITNJKK9FISISTDOIWFKLVRFBWISHMQKNXFRWVPDSIMNWXVVWMC</t>
  </si>
  <si>
    <t>Plain</t>
  </si>
  <si>
    <t>Cipher</t>
  </si>
  <si>
    <t>BBCAABBCCAACACCBBACCABCCBBBAACBCBBBBBAACBA</t>
  </si>
  <si>
    <t>AAB</t>
  </si>
  <si>
    <t>BBACCABCCBBBAAC</t>
  </si>
  <si>
    <t>BBCAABBCCAACCAC</t>
  </si>
  <si>
    <t>2,3,4</t>
  </si>
  <si>
    <t>1,2</t>
  </si>
  <si>
    <t>4,5</t>
  </si>
  <si>
    <t>6,7</t>
  </si>
  <si>
    <t>7,8,9</t>
  </si>
  <si>
    <t>9,10</t>
  </si>
  <si>
    <t>14,15</t>
  </si>
  <si>
    <t>posn</t>
  </si>
  <si>
    <t>start</t>
  </si>
  <si>
    <t>a</t>
  </si>
  <si>
    <t>b</t>
  </si>
  <si>
    <t>c</t>
  </si>
  <si>
    <t>CBB</t>
  </si>
  <si>
    <t>ABB</t>
  </si>
  <si>
    <t>CAC</t>
  </si>
  <si>
    <t>11,12</t>
  </si>
  <si>
    <t>12,13,14</t>
  </si>
  <si>
    <t>*</t>
  </si>
  <si>
    <t>CAB</t>
  </si>
  <si>
    <t>ACC</t>
  </si>
  <si>
    <t>BCC</t>
  </si>
  <si>
    <t>CAA</t>
  </si>
  <si>
    <t>BAC</t>
  </si>
  <si>
    <t>CCA</t>
  </si>
  <si>
    <t>CBA</t>
  </si>
  <si>
    <t>BBA</t>
  </si>
  <si>
    <t>AAC</t>
  </si>
  <si>
    <t>VALENTINE</t>
  </si>
  <si>
    <t>FABULISTS</t>
  </si>
  <si>
    <t>FERDINAND</t>
  </si>
  <si>
    <t>ALGORITHM</t>
  </si>
  <si>
    <t>HAWKSMOOR</t>
  </si>
  <si>
    <t>ABCDEFGHI</t>
  </si>
  <si>
    <t xml:space="preserve">DECYPHERED </t>
  </si>
  <si>
    <t xml:space="preserve">GOVERNMENT </t>
  </si>
  <si>
    <t xml:space="preserve">ACQUAINTED </t>
  </si>
  <si>
    <t xml:space="preserve">MAINTAINED </t>
  </si>
  <si>
    <t xml:space="preserve">UNPLEASANT </t>
  </si>
  <si>
    <t xml:space="preserve">DISCRETION </t>
  </si>
  <si>
    <t xml:space="preserve">CONCERNING </t>
  </si>
  <si>
    <t xml:space="preserve">ENCRYPTING </t>
  </si>
  <si>
    <t xml:space="preserve">PREVIOUSLY </t>
  </si>
  <si>
    <t xml:space="preserve">INVITATION </t>
  </si>
  <si>
    <t xml:space="preserve">CHEMISCHEN </t>
  </si>
  <si>
    <t xml:space="preserve">PERSONALLY </t>
  </si>
  <si>
    <t xml:space="preserve">PRODUCTIVE </t>
  </si>
  <si>
    <t xml:space="preserve">TOP-SECRET </t>
  </si>
  <si>
    <t xml:space="preserve">RECRUITING </t>
  </si>
  <si>
    <t xml:space="preserve">INDUSTRIES </t>
  </si>
  <si>
    <t xml:space="preserve">DIPLOMATIC </t>
  </si>
  <si>
    <t xml:space="preserve">RECOGNISED </t>
  </si>
  <si>
    <t xml:space="preserve">PROPONENTS </t>
  </si>
  <si>
    <t xml:space="preserve">PROPAGANDA </t>
  </si>
  <si>
    <t xml:space="preserve">CHALLENGES </t>
  </si>
  <si>
    <t xml:space="preserve">PROTECTION </t>
  </si>
  <si>
    <t xml:space="preserve">LABORATORY </t>
  </si>
  <si>
    <t xml:space="preserve">ATMOSPHERE </t>
  </si>
  <si>
    <t xml:space="preserve">FRIGHTENED </t>
  </si>
  <si>
    <t xml:space="preserve">RELINQUISH </t>
  </si>
  <si>
    <t xml:space="preserve">IMPOSSIBLE </t>
  </si>
  <si>
    <t xml:space="preserve">UNDERSTAND </t>
  </si>
  <si>
    <t xml:space="preserve">THROUGHOUT </t>
  </si>
  <si>
    <t xml:space="preserve">MISFORTUNE </t>
  </si>
  <si>
    <t xml:space="preserve">UNDERSTOOD </t>
  </si>
  <si>
    <t xml:space="preserve">TECHNOLOGY </t>
  </si>
  <si>
    <t xml:space="preserve">INTRODUCED </t>
  </si>
  <si>
    <t xml:space="preserve">SULPHUROUS </t>
  </si>
  <si>
    <t xml:space="preserve">DEPLOYMENT </t>
  </si>
  <si>
    <t xml:space="preserve">ESPECIALLY </t>
  </si>
  <si>
    <t xml:space="preserve">TERRIFYING </t>
  </si>
  <si>
    <t xml:space="preserve">CONTINUING </t>
  </si>
  <si>
    <t xml:space="preserve">DECRYPTION </t>
  </si>
  <si>
    <t xml:space="preserve">ASSISTANCE </t>
  </si>
  <si>
    <t xml:space="preserve">CONVENTION </t>
  </si>
  <si>
    <t xml:space="preserve">PRECAUTION </t>
  </si>
  <si>
    <t xml:space="preserve">SUFFICIENT </t>
  </si>
  <si>
    <t xml:space="preserve">PROSECUTED </t>
  </si>
  <si>
    <t xml:space="preserve">REVELATION </t>
  </si>
  <si>
    <t xml:space="preserve">EXPERIENCE </t>
  </si>
  <si>
    <t xml:space="preserve">INVENTIONS </t>
  </si>
  <si>
    <t xml:space="preserve">MYSTERIOUS </t>
  </si>
  <si>
    <t xml:space="preserve">COMMERCIAL </t>
  </si>
  <si>
    <t xml:space="preserve">DECIPHERED </t>
  </si>
  <si>
    <t xml:space="preserve">CONDITIONS </t>
  </si>
  <si>
    <t xml:space="preserve">IMPORTANCE </t>
  </si>
  <si>
    <t xml:space="preserve">REASSIGNED </t>
  </si>
  <si>
    <t xml:space="preserve">DESCRIBING </t>
  </si>
  <si>
    <t xml:space="preserve">DISPASSION </t>
  </si>
  <si>
    <t xml:space="preserve">SCIENTIFIC </t>
  </si>
  <si>
    <t xml:space="preserve">CONSPIRACY </t>
  </si>
  <si>
    <t xml:space="preserve">CONVINCING </t>
  </si>
  <si>
    <t xml:space="preserve">UNIVERSITY </t>
  </si>
  <si>
    <t xml:space="preserve">CONFIDENCE </t>
  </si>
  <si>
    <t xml:space="preserve">INSTRUMENT </t>
  </si>
  <si>
    <t xml:space="preserve">SPONSORING </t>
  </si>
  <si>
    <t xml:space="preserve">ULTIMATELY </t>
  </si>
  <si>
    <t xml:space="preserve">PENETRATED </t>
  </si>
  <si>
    <t xml:space="preserve">DIFFICULTY </t>
  </si>
  <si>
    <t xml:space="preserve">ENCRYPTION </t>
  </si>
  <si>
    <t xml:space="preserve">CONSIDERED </t>
  </si>
  <si>
    <t xml:space="preserve">DEVELOPING </t>
  </si>
  <si>
    <t xml:space="preserve">DETERMINED </t>
  </si>
  <si>
    <t xml:space="preserve">HONOURABLE </t>
  </si>
  <si>
    <t xml:space="preserve">LIEUTENANT </t>
  </si>
  <si>
    <t xml:space="preserve">CONFIDANTE </t>
  </si>
  <si>
    <t xml:space="preserve">EVERYTHING </t>
  </si>
  <si>
    <t xml:space="preserve">INVALUABLE </t>
  </si>
  <si>
    <t>the</t>
  </si>
  <si>
    <t>and</t>
  </si>
  <si>
    <t>for</t>
  </si>
  <si>
    <t>are</t>
  </si>
  <si>
    <t>but</t>
  </si>
  <si>
    <t>not</t>
  </si>
  <si>
    <t>you</t>
  </si>
  <si>
    <t>all</t>
  </si>
  <si>
    <t>any</t>
  </si>
  <si>
    <t>can</t>
  </si>
  <si>
    <t>had</t>
  </si>
  <si>
    <t>her</t>
  </si>
  <si>
    <t>was</t>
  </si>
  <si>
    <t>one</t>
  </si>
  <si>
    <t>our</t>
  </si>
  <si>
    <t>out</t>
  </si>
  <si>
    <t>day</t>
  </si>
  <si>
    <t>get</t>
  </si>
  <si>
    <t>has</t>
  </si>
  <si>
    <t>him</t>
  </si>
  <si>
    <t>e</t>
  </si>
  <si>
    <t>r</t>
  </si>
  <si>
    <t>x</t>
  </si>
  <si>
    <t>g</t>
  </si>
  <si>
    <t>s</t>
  </si>
  <si>
    <t>t</t>
  </si>
  <si>
    <t>cbc</t>
  </si>
  <si>
    <t>_</t>
  </si>
  <si>
    <t>CBBBAACBCCAACACABBACCCBCBBBCAABBCBBBABAACBCCBABACACABCCCBCCCBACBABCACCCACABBACCBABACACACBBCAAAABAABAAACABCBCCBBABABAABBABACCACCBBABCBCCBBCCCCAACACBBCBCBAACBBBCABACCBBCCACABABCABABBCACCACAABABACABBCBCBCBCACAAABBBACCBABBAABACAAACAAABBBBABACBAAAAACCBBCBACBCBCCACCCBBBBCCCCBABBCACCBCCBCCAABBCBBCCBCCABABACBBBABAACCCBCABBACBBACACCABACBCBBACACBBCCCAAABAACBCBBBCCBCCACBACABCCABBACBBCAABCBCABCBCACACACBACBCACBBBBCBCBACCBCAABCCAACACCBABABCACCAABBBBCACCAABCBCABBCACABBCCBACABACCCBBCBCABAABAABCCBAAABCCCCAACBBAACBACCBCBBCCCCBCBABCCABBCACACCBBCAAAAAAAACBACABAABABCAAAABBBCBBABCCCAAAAABBCBCBCBBCCBBBABBBBCBBCBBABCCCACBBBACABBCAABCACCBACABBCCAABBCCACBBBBCCBCBCBBAABBBBABACBABCCBAABACCCBABBACABCBCBBBACBCABCBCBCABACAACCCACCBBCCBCBBAAACCBCCACABABBABBABACAABBBBCCBCCACBCCCCAABBBABCBABBBBBBABBCABACABACACCBBBBAABBABACAABACAAABAACBBCBAABAAAABCBABCCBBBACBABBCACBAAACBACAAACAABCBACCBCAABCCAACACCACBABCBCCCBBACCABCBCCACBCABBCCACBBCCBACABCAACACBABABACABCCBCACAACBACCCABCACBACAAABCAACCBBACACBCCCCCBCCBACACCBCACCBBAABACCCAAAAAACCBBBCCCCABAAACABBCCACBBBBBBBABABCBCBBCCABBABBBAAAABCCAABBACBCACBAABBBABCBBABACBAABCBBBCCBBCCACCACCBACBACBAAACCCCCACBCBACABCAACBBBABCACCACABACAABBBCCBBCABBCCCACABABABCCCCBCBBAABBAABBABBACBCAAABCCCCBABBBBBCAACABCABCACCBABBCCBBABAAABACBCBBABCBCCCCABAABABBABAAABACCBBBBBAAABBACCBABBAAABBCCACAABBABCBCAAABCBCBBACACBCBCCABBAAABAACAABABBACCBAACABBABCABACAAAACCCABBBCAAAACBBBBCABCAACCBCCAACABBBCACABACACAACAABABCABBABCACCCBCCBBAAAACCCACACCBACABBACBBBBAABCCACABCCACACACCABAABBABBCACCABAACAAACBBCBBACBAABAAABCCAABAACACBACCBBBABACBCCAAAABBABBBCCBBABAAABABBACACABAACAAACBBCACACCABACBACBBACACBBACCBBACBBACACBCCCCACBACCBBCCBCABCBCCABBBBCAABBCCBAACBBACAACCACBACCCBAAABBBBCCBCCACCACCAABCABBACABBCBABABCBCAABCCCACACCBCCABCAACABCCBCABCBACCCBAACBCACABBABBCBACBCBCBBBABBBCCACCCCBBBCAACBACBABCCAAAAAAAAACACCAAABACBCBBBCBBACABACCCACABCBACCCABABBCAABBAACACCACACCCABCCACBBABAAAACBCBBBBBCBBBABAAAACBBCBABBBCBABBCCCBCACAACBABBCBBBCBCBBACCAACACBBCCCCAABCAABCBBBCCBAABCCCACCCABBBBCCBCBACACBBAACACACBBABABBCBCCACCBAACABACBCBCBBACCAAABCACBBBAAABCACABAACABACBBBBCBCACCBABBBCAAABACAACAACBBCCBCCABCAACBBACACBCBCCBCBABCCCACBCCCBACBACCABAABCCACBCBABBBBBCBCCBBBBCCBBAABCABCBCBCBAAAABBAABBBCAABBCBCBACBCCABBCCCBCCACBBBACCCABCCACBAACBAAAABACBABBAAACAAACBCBACCBBBBBABCBCCABCCCBCBCAACCAACABBAAABCABACBBCBCCABCBBBBABCAABCACCCBCBAABBCCAABACACCAAACAABCBBABBABCCBAACACCBACABCBBCABCCACAABBBAAAABABBCBACBABACAACCBCBBBAACBBBCCBAABBACACCBCABCCAACBABBBAABABACACCBBAACBBBCCBCCABAAABAACBBCBCAACBAAABBBCCBCCABABBBBCCBAABBACACACBBCBABCBBABACBAABCBACAAACBBBBCACACBBABACBACBAABBACBAAAABABCBACAACACCBCAAAAAAACBABBCBCCBCBABCBCACACAAAABCBBAAABAAAAACBBCACBCACABBCCCBAAACBAAABBACCCCABAAABCBBABACBACBAABBBBBCBABBCBBCCACAABABBCABBAABCABBBCCBBCCACCACCBACBACBAAACCCAAACBCBBBBCABBCBACBBBACBCCACABBBCBBBABCABBCBCCBABABCABBCABBCBBAAABCBCBCBACCACABCBABCAAABBBCBBACBCCCBBCACAACBACABBBBCACCCBAACBAAACAAABCCBCAAACBACABCBACACCBCBBABBACACACBAACBBAABBBBCCCACCACBCBBBABAAABCABCCBABBABBBACACBBCBCAABBCCCACCAAAABBACABACBBBBABCCCACCCCBBAABCCBBCABAAABBBBBABACAACABACCAABAABAACBCBBAACACCACAAAACBBBABBBBCAACCABBBCBCBBACABAABBCCCACCACCBCCCABAABACBBAAABBBAABABBABAABAAACCACCABCACCACAAABCBBAABAACBCBBAAABBBCCACBBCCABCBACAACABAAABCCBBCCCCBBBABBCCABBCCCCBBBABBBACCAAAABBCACBBBACCACAACAABABAABBCAAACBAACAAAABBCBBACACBCCCAACBBCCAAACBCCCBBCABACCBAABCAABCABBBCCBBACACCBABBCAAAABBCCCBCABBABBBCBBACBCCCBBCBBABBBBACBCCAACBCCACCBABCBABBCACCACABCAABCCCCBABBCBBBBAAACAACCCCCCACBBABCBBCBBCCBABABCCCACAABBBCBCCCACABCBACBACBBBBCBBCBBACCBBABBABBBCACCBACACBBCBCAACBACAABACABBACBCBCCACABABBABCBCACBCAABCBCCBCCCCBCACCABBBBCCBCBCBBBBBABCBCCBCBABCBCACACAAAABBCCCCABCBCCABACBACBBBBBBBBBCCCBBCBAACAABACAAACCCACACBBBACCBCCABCBCCAABBCAAACABBBAABBBABABACBBCCCBBBACBACCACBBCCBCCBCBBABBBCACACACBCABBABBBCBABABCABBAABCBAACBBBBACBBCBACAABACABBACBAAAACABCCBAABACCBBBAACBCCCCBCCBCBAACBABCACABCCCCBBBBBBABCACBCBABCBABCBCCBAACACACBBBBBACCCABBBAACCCAABAABACACCAAABCABCCABCACCBBCACCACAAACCCBBCBBABCABBCCBCCACBABBABCAACBBACBABCABBBCCCCBCACCBCAACCACCABBAAABCCBCBAACABBCCBBBCCBBCAACCACCCBCAAAAAACACBCCCBBACABAACBBACCCBCCAAAABCBBCBACBCCAAAABBBCACAABCBCCACAAAAABBBABBBCAAABABBBBCBBAAACABCBACACBBAABCAAAACCCABBBBBAABABBABCCCABCACCCAAACCCAACABABABBCACCCBBABCBABBACCBABCCABCAABCBBACCCAAACBBBABCBBABBBBCBCABCBCCCBBCBABCAABACAAACCBBABBBCBBCBCCBACBACBBBBAAAC</t>
  </si>
  <si>
    <t>ABBBCCCBCACACAACABBABCBCCAACBBBBCBBAABABBCCBCACABACCBACCCCBCABCABCCACBBACACBCCABACABABBCACAAAACABAABBACAABCCBCBABABABBAAACCABABBCCCCBCBCCCBBACAACBCBBCCAABCACBBBBCCABCACCBCBABABBABAACCACABAACBACABBCBCBCACBCBBAAABCCABAABBAAACABAAACAABBBBABCABCAAAABCBBCBCBCACCACCBBBBCBCCCCACBBACCBCCAACCBBBCBBCCBCCABABAABBBCCCAABBACBCBBCABCCACABCABACABBCCBBCAAAACCBCAABCBBBCACCBCACABCBACCBBBCABCBAACCBACBACACBABCACCACBCCBBBBCABCBAACBCAACCBBCCACCBABAAACCACBBBBAACCAACBCBCACBBCCBBABACABBCCCAACBCBABAABBCCBACBAAAAACCCAABBCCCABCCBBCBCBCCCCCBABACBBABCCACAAACBAAAAAACABCABAABAAACBCBBBACBABBAAACCCBBAABCBCBBBCCBBBBABCBBCBCBABBBCACCACABBAACBBCCACBBACABAACCBACCBBBBBBCBCBCCAABBCABBBBABCABABCCBCCABABBABCCBACABBBCBACBCABCBCBCABACCCCAABBCCABCBCCCAAABACCBCBABACABBABAACABCBBBBACCBCCCCBCBBAACBCBABBBBBABBABBCABACACABABBBCCBBAABACABAACABAAABAABCBBCAABAABCBAABCCBABCABBACBBAAAABCACABCAACAACABCBAACBCAACCBACCACCBABCBCCCBACCABCCBCBACBCAACCBBCCBBCBACABACAACABABCBACABACBCCBCAACACCCABCACBAAACACAACBCABBCCCBCACBCCCACABCACBCCABBCCCCABAAAAACBCCAACCCBBAABACBBACABCACCBBBBBBABABBBCBCBBACCABBBACBAAABBAACACBCABAABCCBABBABABBBAABCCBBBCCCBBCCACCABCABCAABCACCCCACBCACBACABBCAACCBABBCACCAACABACBBBAACBBCCCCBBABACACCBABBCBCCBBAABABBAABCABBBAAACBCCCCBBBBACAACBBACBABCCACCCBBAABABBCABAAABBCBCCBCBABACCBBABAAAABABCCABABBBBABBAABABCCBAAABCACCBABBAAACBCBBCBAACABBCBCBCABBACCABAAABAACACABBACAABCBABBACABACCAAAABBACCAAACBBBBCACBACBBCCAACAACCCBBBAABACAAACACABAACBBACBCACBACCBCCAAABBACCCABCCACBBACABBBCACBAABBACACACACCACCACBBAABACBBAABACCAAACABCBBCABCABAAABAAACCBACAABCCABCBABBBCCBCABAAAABBBABABBCCBAAABCABBAABACAAAACAACBBCACCACABCABCABBCABBCAABBCCCABBCCCBCABCACCBBCCAACBCCCCBCBBBBBABBAACAABCCCABBCACCAACCABCAAABCCBBBBACCBCCCACCACBAAACABBABCBBBCBABCBAACACACCCCBCCAACBACCBACCBACBCCCABBCAABBACACCBBABCBCABBBBCBCBBBACCCACCBBBCABCAACBABCAAAACAAAAAACCACCABAABBBCBCABBCCCABABACACCCABCBABACBAACBACAABACACCBACCCBCACCAABABCBCAABBBBBABBBCAAAABBCBBCCBBBACBBABACBCCBCAACBCBBACBCBBCCABBCACAACCCBBCBAACBCBAABCCBBCCBAACCCACBBBBABCBCCBCACAACAABBBCACBBABAACCBCAABCCCABACBCBCBACCABACBAAABBBCACBAAAABACCABACCBBBBCCACBBBBABBAAACCAACABBCAACCBCCAACBACABBCBCBCABCBCCCCCBACCBCABCABCBACCACCBAABCBCABBBBACCBCBCBBBBAABBCCBACBBCBCBBAAAABBAABBAACBBCBCBCCBCACCBBAACCBCABBBCBACCCBCACCABCAAABAAABBABCACAAACBCAABCCABABBBBCCBCBCCCBAACBCBAACCAABBACACBAABBCABACCBCBBBCBACBABCACBABCBCCCBBAAABAACACCACAACAAABBCBCBABBCAABCABCCABCBACCBACBAACACAABBBBABAACABCBCABABBCCAAABBBCBBBCAAABCCACABBACBCCAACCBBBABCABAABCACABAABBCCBBBCACCBCBAAABBBCAAAACBCAAABCCCBBBBACCBBBBBAAABCCACABBBBCACCBABCABABBBAABCACABCBBCAACACBBABBCAABCABBAABCABCABABAAACABCBCACAAAACBCAAAAABBABCBCCBCCBABCACACBAAAACABBCBAABAABCAAABCACBBACACBCCCBBCAAABBAAACCCCAAAABAABBCBABCABBAABCCBBBBCBBABACCBBABAACBACBBCBAABCBBBACCBBCCACCABCABCAABCAACCCACBCAACBBBBBCBBABBBCACCBCABBACABBBCBBACBACCBCBBABABCBBACBCBBABAAABCBCBCACCABBCBACAACBACBBBABCABBBBCCCAACACACABCCBBBBBCCCAABCAAAACAABCCBACAAACBACABACABCBCBCCABBABCACACBCAABBBAABCCCBBCACCABBBCBAAABACBACBBBABCABBBABBCACAACBCCCCBBAACCAABBAACABACABBBBACCCBBCCCCCBAABACBBCBAAABABBBBAACABCABACABAACCAABAABBCBCCACAAAACABBBCABBBBACCAACCBBBAABBCBAABACCCCBBCACCACCCBCBAABAABBCABBBAABABAAAABABCAAABACCACCCACBAAACAABBCBCAABAABBCBBBBAABCACCBACCBACABCABACACCBAACCCBBABBBCACCBBCCCBBABBBCCABBBAAAACCACBBCABBBAACACABAACBBAABCAAACACAABBBAAACABBCCCBCABCAACAACCBCCBCAACBBCBCCABACBAABACBABCCBBCACABBBABCAAAACCCCBBBBACBCBBBABCABBBBCCCBABBCCABBBAACCBACCBCBABCCBBABCACCACACBACCCCBABBABCBBBBCACAAACCCCABCACCBCBABCBBCBABABCACCCBBBAACCCBCBBACACBCABCBBBCACBBCBCCABBBBABBCBBBAABCCABBCACAACBCACABCACABABCABBACCBCBABACBCBABCBCACBCBAACCBCCACBCCBBACCBCCBBBBCBCBABBBBCCBCCBABCACACBAAAACCCCBBBCBACABACCBCABCBBBBBCCBBBBCBBCAACAAAACABACCCABBCACBCCABCBACCAACCBAACBBBBACABBAABBABABCBBCABBBCCCABCABBCACCCBCCABBCBACBBBCACACBBACBCBBBABABABABBACABCBABBBCABBCABACABCACABABCABBCAAAABCCBACABAAABBBCCCBCACCBCCAABCBCBABCCBACABBCCCABBBBBCACBCBABCBCBABAABCCCACACBBBBBACCCAAABBBAACCCABAABACCACACBAABACCBBCCACCCACBAAACABBCCCBABBCCBBACACCBCBBABCAACBACABBCACBABCCBBBACBCCACBCCCACCAABBACCCBAAAABCBCBBACCBBBCACBBCCACCAACBCCAAAAACBCACABBCCAABACCABBCCCBCCBAAAABCBBCCCBCABAAAACACBBBCBAAACACCBAAAABBABBAAACBBBBABABBCBBACAAACABCAABBCAAACBACCCABBBBBBABAACCBABACBACAACCCACCCAABACACBBABBCCCABCBABCABBACBABCACBACBBCBAACCCABBCAABCBABBBBABACBCBCCBCBBCBBCAACBAAACABBBCCACBBBACBCBBBCABCBBBCACAAAB</t>
  </si>
  <si>
    <t>ERXGSTKXSWOMDOXGLV9XFFUMURDTEUAGJMSRQDKJIDO9Q9MSXOSPWOTUXKEDIGJVTQXHWARDEATASNKTSBWXPYZNX9HLXSZOOXTDERSMXOFUFDTROAIPFNUXGQINTVILLHFIHZNTVHSZRIKAYWMICQUOWDTRSXKBRLJA9BRTZQX9VLMRGCJAGPJJHWLKJIWBXNZNFOQEPYTJWYWGJZINNXRBPNKTFXTEFVTOLPQXD9SOTXYBIQDTKCFNLX9QJXKNKKPLGKOWBGJTAJQPDFJRKTLMAPTSSTVHSZIIKXZIFXLPIOWVTGGKVTHZSUYPVCGHTRXH9GPXTRYJAXS9MDWGPZNMKOQLTMVBJUPJRKKEJRN9OUTTSP9UPVTPIKPYGLNCO9MLIKQZJKJPNAX9NLCMVRIWBETAORQDZKADRDNKJKZAPZEAXOJTQXEIDBCGMSQEGLSBLSHNULOSS9NBGCGJWHULXSEITYWGNUJMUGYYWBHJLSGQPPJDCVSRFKOXDANDOVBTJLAGHPYTTTPOBRTRXFIOSX9QNKJSRTPYIFARNLXYYVCEFNVQCG9XSVZILRTPEGZKXEOQM9INTSVPASAIIDEQTRTDUYQDVHGDUV9PYDQSNMNSBQRNHKHZSXMXOTPS9OJXJROVIUNKXXGGEPWDIPFYLQVYLJEPVALTINRHNEAYGOCXSVTQXFR9LXFFLUVFPNLXQNBRLOQJBJMHQXXIMIPNV9PYPBAMPSHSRDNRQ9JXJYEGVETIQOLKUKXZJDGYSSEXKPFFTVZHCGEMJTXDOSEQOARGMXSZMPJPTBRNUXJEPAXARWMZNJFUEOIKTEJPTWSUMOBTJPPKATXGAXABKXXVPUJCEVDFAPWGXZPBJIYAJOKTJRNQKIMJVWVFNIOUTTSPIUPHNQKOIPMTOMVZWDQLQKAQXIEVSVWKTN9CGTZNRSPASRLAVTGQXTKUHSNB9OIEQALLNFEKPSX9MIBJTGNLZR9JLOJDNJTTGJYDEXUAGNTNICWJOJL9OIIXJJOEJKADPBIIUJGEXBBQNBUVZGPLIJ9MNUW9MNYNAIHPNCGJWBSGSNATRXFCCXXCORDVDVROGNFAIZNHWKTN9KREJZIQFWFIGV9VMQNUA9TUXKWVKUZMIXMUPQOHQYNKQMFTPSXGPTFEIQDXKXHVIRHZLXWOQEOXVPUJC9NVTIPQNRNQPGATITPXTVYIJWMTJMKWTOYPOIXTQHOGWHWKDKLFKOETGPTFESBZGJERXIRBXKZGOYNOHVQVJRUHNLYBMITBIGVDZRIUJGOZEZLIQKSVTPVRNHYXYYEIVAQWINUOUSXSAXGOSLTRXVAQRXDAUNVCIJBKJHNDOMSGPESHITNMJZDVS9ISLHKRTVPMVPVWVITPFKNDXRQQPHATOUNHWPQOGB</t>
  </si>
  <si>
    <t>erXgsTkxSwoMdoXglV9xFfuMurDteUagJmsRqdKjiDo9Q9mSxoSpwOtuXkeDigJvtQxhWarDeaTasNktSbwXpyZnx9hlXszOoxTdeRsmXofUfdTroAipFnuXgqIntVilLhfIhzNtvHszRikAywMicQuoWdtRsxKbrLja9brTzqX9vLmrGcjAgpJjhWlkJiwBxnZnfOqePytJwyWgjZinNxrBpnKtfXteFvtOlpQxd9soTxyBiqDtkCfnLx9QjxKnkKplGkoWbgJtaJqpDfjRktLmaPtsStvHszIikXziFxlPioWvtGgkVthZsuYpvCghTrxH9gPxtRyjAxs9mdWgpZnmKoqLtmVbjUpjRkkEjrN9oUttSp9UpvTpiKpyGlnCo9MliKqzJkjPnaX9nLcmVriWbeTaoRqdZkaDrdNkjKzaPzeAxoJtqXeiDbcGmsQegLsbLshNulOss9nbGcgJwhUlxSeiTywGnuJmuGyyWbhJlsGqpPjdCvsRfkOxdAndOvbTjlAghPytTtpObrTrxFioSx9QnkJsrTpyIfaRnlXyyVceFnvQcg9xsVziLrtPegZkxEoqM9iNtsVpaSaiIdeQtrTduYqdVhgDuv9pyDqsNmnSbqRnhKhzSxmXotPs9OjxJroViuNkxXggEpwDipFylQvyLjePvaLtiNrhNeaYgoCxsVtqXfr9lxFflUvfPnlXqnBrlOqjBjmHqxXimIpnV9pYpbAmpShsRdnRq9JxjYegVetIqoLkuKxzJdgYssExkPffTvzHcgEmjTxdOseQoaRgmXszMpjPtbRnuXjePaxArwMznJfuEoiKteJptWsuMobTjpPkaTxgAxaBkxXvpUjcEvdFapWgxZpbJiyAjoKtjRnqKimJvwVfnIouTtsPiuPhnQkoIpmTomVzwDqlQkaQxiEvsVwkTn9CgtZnrSpaSrlAvtGqxTkuHsnB9oIeqAllNfeKpsX9mIbjTgnLzr9jlOjdNjtTgjYdeXuaGntNicWjoJl9OiiXjjOejKadPbiIujGexBbqNbuVzgPliJ9mNuw9mnYnaIhpNcgJwbSgsNatRxfCcxXcoRdvDvrOgnFaiZnhWktN9kRejZiqFwfIgv9vmQnuA9tUxkWvkUzmIxmUpqOhqYnkQmfTpsXgpTfeIqdXkxHviRhzLxwOqeOxvPujC9nVtiPqnRnqPgaTitPxtVyiJwmTjmKwtOypOixTqhOgwHwkDklFkoEtgPtfEsbZgjErxIrbXkzGoyNohVqvJruHnlYbmItbIgvDzrIujGozEzlIqkSvtPvrNhyXyyEivAqwInuOusXsaXgoSltRxvAqrXdaUnvCijBkjHndOmsGpeShiTnmJzdVs9IslHkrTvpMvpVwvItpFknDxrQqpHatOunHwpQogB</t>
  </si>
  <si>
    <t>XTSMXVFMDUJRKDQSSOXDJQWDTNSXZ9XOTRXUTAFXIVLINHRAMQWRKL9TXLGAJWJBZOPJWZNBKXFOQ9TBDCLQKKGWJJDRLPSHIXFPWGVZYCTHPRA9WZKLVURENUSUTKGCMKJPXLVWTRZDNKPAJXDGQLLNO9GJUSTGJGWJGPCROAOTAPTOTFSQJTIRXVFQ9VLPZEMNVSIQTYVD9DNSRKSXPOJVNXEDFQLPLNNYCVX9FUPXBOBHXIVYASRRJYVILKJYEPTHETOQRXMPRXPAMJEKJWMTPTABXUEFWZJAKRKJVITPPQITVDQQEVTCZSSAGTHBIANKXITL9ONTYXGNWJOXOKPIGBNVPJN9YINJSNRCXRDOFZWNRZFI9QAUWUIUOYQTXTIXHRLOOPCVPRPTPVJTKOOTOHDFEPEZEIXGNVJHYIIDIGEISPNXEAIOXXSRAXUCBHOGSTJVIHTMVIFDQHOHQ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</si>
</sst>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1"/>
      <color rgb="FF000000"/>
      <name val="Calibri"/>
      <family val="2"/>
    </font>
    <font>
      <sz val="8.5"/>
      <color rgb="FF555555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ashDotDot">
        <color auto="1"/>
      </left>
      <right/>
      <top style="dashDotDot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dashDotDot">
        <color auto="1"/>
      </bottom>
      <diagonal/>
    </border>
    <border>
      <left/>
      <right style="dashDotDot">
        <color auto="1"/>
      </right>
      <top style="dashDotDot">
        <color auto="1"/>
      </top>
      <bottom style="dashDotDot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Font="1" applyFill="1" applyBorder="1"/>
    <xf numFmtId="0" fontId="2" fillId="0" borderId="0" xfId="0" applyFont="1" applyAlignment="1">
      <alignment horizontal="left" vertical="top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0" fontId="0" fillId="3" borderId="10" xfId="0" applyFill="1" applyBorder="1"/>
    <xf numFmtId="0" fontId="0" fillId="3" borderId="11" xfId="0" applyFill="1" applyBorder="1"/>
    <xf numFmtId="0" fontId="0" fillId="2" borderId="0" xfId="0" applyFill="1"/>
    <xf numFmtId="0" fontId="0" fillId="4" borderId="0" xfId="0" applyFill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4" fillId="0" borderId="0" xfId="0" applyFont="1"/>
    <xf numFmtId="0" fontId="0" fillId="5" borderId="0" xfId="0" applyFill="1"/>
    <xf numFmtId="0" fontId="0" fillId="6" borderId="0" xfId="0" applyFill="1"/>
    <xf numFmtId="0" fontId="6" fillId="0" borderId="0" xfId="0" applyFont="1"/>
    <xf numFmtId="0" fontId="0" fillId="8" borderId="0" xfId="0" applyFill="1"/>
    <xf numFmtId="0" fontId="0" fillId="9" borderId="0" xfId="0" applyFill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10" borderId="0" xfId="0" applyFill="1"/>
    <xf numFmtId="0" fontId="0" fillId="11" borderId="0" xfId="0" applyFill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285750</xdr:colOff>
          <xdr:row>2</xdr:row>
          <xdr:rowOff>0</xdr:rowOff>
        </xdr:from>
        <xdr:to>
          <xdr:col>19</xdr:col>
          <xdr:colOff>9525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Matrix to linear list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209550</xdr:rowOff>
        </xdr:from>
        <xdr:to>
          <xdr:col>1</xdr:col>
          <xdr:colOff>885825</xdr:colOff>
          <xdr:row>1</xdr:row>
          <xdr:rowOff>847725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Cipher to triplet</a:t>
              </a:r>
              <a:endParaRPr lang="en-GB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180975</xdr:rowOff>
        </xdr:from>
        <xdr:to>
          <xdr:col>1</xdr:col>
          <xdr:colOff>857250</xdr:colOff>
          <xdr:row>2</xdr:row>
          <xdr:rowOff>1038225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transform and convert to plain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8"/>
  <sheetViews>
    <sheetView topLeftCell="A17" workbookViewId="0">
      <selection activeCell="N9" sqref="N9"/>
    </sheetView>
  </sheetViews>
  <sheetFormatPr defaultRowHeight="15" x14ac:dyDescent="0.25"/>
  <cols>
    <col min="1" max="1" width="4.5703125" style="1" customWidth="1"/>
    <col min="2" max="4" width="4.5703125" customWidth="1"/>
    <col min="5" max="5" width="5.28515625" customWidth="1"/>
    <col min="6" max="6" width="4.5703125" style="1" customWidth="1"/>
    <col min="7" max="10" width="4.5703125" customWidth="1"/>
    <col min="11" max="11" width="4.5703125" style="1" customWidth="1"/>
    <col min="12" max="13" width="4.5703125" customWidth="1"/>
    <col min="14" max="16" width="4.42578125" customWidth="1"/>
    <col min="17" max="19" width="4.5703125" customWidth="1"/>
  </cols>
  <sheetData>
    <row r="1" spans="1:24" s="1" customFormat="1" x14ac:dyDescent="0.25">
      <c r="A1" s="22" t="s">
        <v>0</v>
      </c>
      <c r="F1" s="22" t="s">
        <v>1</v>
      </c>
      <c r="K1" s="22" t="s">
        <v>2</v>
      </c>
    </row>
    <row r="2" spans="1:24" s="1" customFormat="1" x14ac:dyDescent="0.25">
      <c r="B2" s="1" t="s">
        <v>0</v>
      </c>
      <c r="C2" s="1" t="s">
        <v>1</v>
      </c>
      <c r="D2" s="1" t="s">
        <v>2</v>
      </c>
      <c r="G2" s="1" t="s">
        <v>0</v>
      </c>
      <c r="H2" s="1" t="s">
        <v>1</v>
      </c>
      <c r="I2" s="1" t="s">
        <v>2</v>
      </c>
      <c r="L2" s="1" t="s">
        <v>0</v>
      </c>
      <c r="M2" s="1" t="s">
        <v>1</v>
      </c>
      <c r="N2" s="1" t="s">
        <v>2</v>
      </c>
    </row>
    <row r="3" spans="1:24" x14ac:dyDescent="0.25">
      <c r="A3" s="1" t="s">
        <v>0</v>
      </c>
      <c r="B3" s="13" t="s">
        <v>25</v>
      </c>
      <c r="C3" s="14" t="s">
        <v>23</v>
      </c>
      <c r="D3" s="15" t="s">
        <v>0</v>
      </c>
      <c r="F3" s="1" t="s">
        <v>0</v>
      </c>
      <c r="G3" s="13" t="s">
        <v>4</v>
      </c>
      <c r="H3" s="14" t="s">
        <v>7</v>
      </c>
      <c r="I3" s="15" t="s">
        <v>17</v>
      </c>
      <c r="K3" s="1" t="s">
        <v>0</v>
      </c>
      <c r="L3" s="13" t="s">
        <v>11</v>
      </c>
      <c r="M3" s="14" t="s">
        <v>10</v>
      </c>
      <c r="N3" s="15" t="s">
        <v>12</v>
      </c>
    </row>
    <row r="4" spans="1:24" x14ac:dyDescent="0.25">
      <c r="A4" s="1" t="s">
        <v>1</v>
      </c>
      <c r="B4" s="16" t="s">
        <v>21</v>
      </c>
      <c r="C4" s="17" t="s">
        <v>20</v>
      </c>
      <c r="D4" s="18" t="s">
        <v>22</v>
      </c>
      <c r="F4" s="1" t="s">
        <v>1</v>
      </c>
      <c r="G4" s="16" t="s">
        <v>24</v>
      </c>
      <c r="H4" s="17" t="s">
        <v>2</v>
      </c>
      <c r="I4" s="18" t="s">
        <v>15</v>
      </c>
      <c r="K4" s="1" t="s">
        <v>1</v>
      </c>
      <c r="L4" s="16" t="s">
        <v>8</v>
      </c>
      <c r="M4" s="17" t="s">
        <v>6</v>
      </c>
      <c r="N4" s="18" t="s">
        <v>9</v>
      </c>
    </row>
    <row r="5" spans="1:24" x14ac:dyDescent="0.25">
      <c r="A5" s="1" t="s">
        <v>2</v>
      </c>
      <c r="B5" s="19" t="s">
        <v>3</v>
      </c>
      <c r="C5" s="20" t="s">
        <v>1</v>
      </c>
      <c r="D5" s="21" t="s">
        <v>5</v>
      </c>
      <c r="F5" s="1" t="s">
        <v>2</v>
      </c>
      <c r="G5" s="19" t="s">
        <v>18</v>
      </c>
      <c r="H5" s="20" t="s">
        <v>168</v>
      </c>
      <c r="I5" s="21" t="s">
        <v>19</v>
      </c>
      <c r="K5" s="1" t="s">
        <v>2</v>
      </c>
      <c r="L5" s="19" t="s">
        <v>14</v>
      </c>
      <c r="M5" s="20" t="s">
        <v>13</v>
      </c>
      <c r="N5" s="21" t="s">
        <v>16</v>
      </c>
    </row>
    <row r="8" spans="1:24" s="1" customFormat="1" x14ac:dyDescent="0.25">
      <c r="A8" s="1" t="s">
        <v>26</v>
      </c>
      <c r="B8" s="1" t="s">
        <v>25</v>
      </c>
      <c r="C8" s="1" t="s">
        <v>24</v>
      </c>
      <c r="D8" s="1" t="s">
        <v>23</v>
      </c>
      <c r="Q8">
        <v>1</v>
      </c>
      <c r="R8">
        <v>2</v>
      </c>
      <c r="S8">
        <v>3</v>
      </c>
    </row>
    <row r="9" spans="1:24" x14ac:dyDescent="0.25">
      <c r="A9" s="2" t="s">
        <v>0</v>
      </c>
      <c r="B9" s="2" t="s">
        <v>0</v>
      </c>
      <c r="C9" s="2" t="s">
        <v>0</v>
      </c>
      <c r="D9" s="2" t="s">
        <v>0</v>
      </c>
      <c r="E9" s="2" t="str">
        <f>B9&amp;C9&amp;D9</f>
        <v>AAA</v>
      </c>
      <c r="F9" s="2"/>
      <c r="G9" s="2"/>
      <c r="H9" s="2"/>
      <c r="I9" s="2"/>
      <c r="J9" s="2"/>
      <c r="K9" s="2"/>
      <c r="L9" s="2"/>
      <c r="M9" s="2"/>
      <c r="N9" s="2"/>
      <c r="O9" s="2"/>
      <c r="Q9">
        <v>1</v>
      </c>
      <c r="R9">
        <v>3</v>
      </c>
      <c r="S9">
        <v>2</v>
      </c>
      <c r="T9" s="32" t="s">
        <v>25</v>
      </c>
      <c r="U9" s="32" t="s">
        <v>0</v>
      </c>
      <c r="V9" s="32" t="s">
        <v>0</v>
      </c>
      <c r="W9" s="32" t="s">
        <v>0</v>
      </c>
      <c r="X9" s="32" t="str">
        <f>U9&amp;V9&amp;W9</f>
        <v>AAA</v>
      </c>
    </row>
    <row r="10" spans="1:24" x14ac:dyDescent="0.25">
      <c r="A10" s="2" t="s">
        <v>1</v>
      </c>
      <c r="B10" s="3" t="s">
        <v>0</v>
      </c>
      <c r="C10" s="2" t="s">
        <v>0</v>
      </c>
      <c r="D10" s="3" t="s">
        <v>1</v>
      </c>
      <c r="E10" s="2" t="str">
        <f t="shared" ref="E10:E35" si="0">B10&amp;C10&amp;D10</f>
        <v>AAB</v>
      </c>
      <c r="F10" s="2"/>
      <c r="G10" s="2"/>
      <c r="H10" s="2"/>
      <c r="I10" s="2"/>
      <c r="J10" s="2"/>
      <c r="K10" s="2"/>
      <c r="L10" s="2"/>
      <c r="M10" s="2"/>
      <c r="N10" s="2"/>
      <c r="O10" s="2"/>
      <c r="Q10">
        <v>2</v>
      </c>
      <c r="R10">
        <v>1</v>
      </c>
      <c r="S10">
        <v>3</v>
      </c>
      <c r="T10" s="32" t="s">
        <v>23</v>
      </c>
      <c r="U10" s="32" t="s">
        <v>0</v>
      </c>
      <c r="V10" s="32" t="s">
        <v>0</v>
      </c>
      <c r="W10" s="32" t="s">
        <v>1</v>
      </c>
      <c r="X10" s="32" t="str">
        <f t="shared" ref="X10:X35" si="1">U10&amp;V10&amp;W10</f>
        <v>AAB</v>
      </c>
    </row>
    <row r="11" spans="1:24" x14ac:dyDescent="0.25">
      <c r="A11" s="2" t="s">
        <v>2</v>
      </c>
      <c r="B11" s="3" t="s">
        <v>0</v>
      </c>
      <c r="C11" s="2" t="s">
        <v>0</v>
      </c>
      <c r="D11" s="3" t="s">
        <v>2</v>
      </c>
      <c r="E11" s="2" t="str">
        <f t="shared" si="0"/>
        <v>AAC</v>
      </c>
      <c r="F11" s="2"/>
      <c r="G11" s="2"/>
      <c r="H11" s="2"/>
      <c r="I11" s="2"/>
      <c r="J11" s="2"/>
      <c r="K11" s="2"/>
      <c r="L11" s="2"/>
      <c r="M11" s="2"/>
      <c r="N11" s="2"/>
      <c r="O11" s="2"/>
      <c r="Q11">
        <v>2</v>
      </c>
      <c r="R11">
        <v>3</v>
      </c>
      <c r="S11">
        <v>1</v>
      </c>
      <c r="T11" s="32" t="s">
        <v>0</v>
      </c>
      <c r="U11" s="32" t="s">
        <v>0</v>
      </c>
      <c r="V11" s="32" t="s">
        <v>0</v>
      </c>
      <c r="W11" s="32" t="s">
        <v>2</v>
      </c>
      <c r="X11" s="32" t="str">
        <f t="shared" si="1"/>
        <v>AAC</v>
      </c>
    </row>
    <row r="12" spans="1:24" x14ac:dyDescent="0.25">
      <c r="A12" s="2" t="s">
        <v>3</v>
      </c>
      <c r="B12" s="3" t="s">
        <v>0</v>
      </c>
      <c r="C12" s="2" t="s">
        <v>1</v>
      </c>
      <c r="D12" s="3" t="s">
        <v>0</v>
      </c>
      <c r="E12" s="2" t="str">
        <f t="shared" si="0"/>
        <v>ABA</v>
      </c>
      <c r="F12" s="2"/>
      <c r="G12" s="2"/>
      <c r="H12" s="2"/>
      <c r="I12" s="2"/>
      <c r="J12" s="2"/>
      <c r="K12" s="2"/>
      <c r="L12" s="2"/>
      <c r="M12" s="2"/>
      <c r="N12" s="2"/>
      <c r="O12" s="2"/>
      <c r="Q12">
        <v>3</v>
      </c>
      <c r="R12">
        <v>1</v>
      </c>
      <c r="S12">
        <v>2</v>
      </c>
      <c r="T12" s="32" t="s">
        <v>21</v>
      </c>
      <c r="U12" s="32" t="s">
        <v>0</v>
      </c>
      <c r="V12" s="32" t="s">
        <v>1</v>
      </c>
      <c r="W12" s="32" t="s">
        <v>0</v>
      </c>
      <c r="X12" s="32" t="str">
        <f t="shared" si="1"/>
        <v>ABA</v>
      </c>
    </row>
    <row r="13" spans="1:24" x14ac:dyDescent="0.25">
      <c r="A13" s="2" t="s">
        <v>4</v>
      </c>
      <c r="B13" s="3" t="s">
        <v>0</v>
      </c>
      <c r="C13" s="2" t="s">
        <v>1</v>
      </c>
      <c r="D13" s="3" t="s">
        <v>1</v>
      </c>
      <c r="E13" s="2" t="str">
        <f t="shared" si="0"/>
        <v>ABB</v>
      </c>
      <c r="F13" s="2"/>
      <c r="G13" s="2"/>
      <c r="H13" s="2"/>
      <c r="I13" s="2"/>
      <c r="J13" s="2" t="s">
        <v>28</v>
      </c>
      <c r="K13" s="2"/>
      <c r="L13" s="2"/>
      <c r="M13" s="2"/>
      <c r="N13" s="2" t="s">
        <v>29</v>
      </c>
      <c r="O13" s="2"/>
      <c r="Q13">
        <v>3</v>
      </c>
      <c r="R13">
        <v>2</v>
      </c>
      <c r="S13">
        <v>1</v>
      </c>
      <c r="T13" s="32" t="s">
        <v>20</v>
      </c>
      <c r="U13" s="32" t="s">
        <v>0</v>
      </c>
      <c r="V13" s="32" t="s">
        <v>1</v>
      </c>
      <c r="W13" s="32" t="s">
        <v>1</v>
      </c>
      <c r="X13" s="32" t="str">
        <f t="shared" si="1"/>
        <v>ABB</v>
      </c>
    </row>
    <row r="14" spans="1:24" x14ac:dyDescent="0.25">
      <c r="A14" s="2" t="s">
        <v>5</v>
      </c>
      <c r="B14" s="3" t="s">
        <v>0</v>
      </c>
      <c r="C14" s="2" t="s">
        <v>1</v>
      </c>
      <c r="D14" s="3" t="s">
        <v>2</v>
      </c>
      <c r="E14" s="2" t="str">
        <f t="shared" si="0"/>
        <v>ABC</v>
      </c>
      <c r="F14" s="2"/>
      <c r="G14" s="2"/>
      <c r="H14" s="2"/>
      <c r="I14" s="2" t="s">
        <v>18</v>
      </c>
      <c r="J14" s="2" t="s">
        <v>0</v>
      </c>
      <c r="K14" s="2" t="s">
        <v>0</v>
      </c>
      <c r="L14" s="2" t="s">
        <v>2</v>
      </c>
      <c r="M14" s="2"/>
      <c r="N14" s="2" t="s">
        <v>0</v>
      </c>
      <c r="O14" s="2" t="s">
        <v>2</v>
      </c>
      <c r="P14" s="2" t="s">
        <v>0</v>
      </c>
      <c r="T14" s="32" t="s">
        <v>22</v>
      </c>
      <c r="U14" s="32" t="s">
        <v>0</v>
      </c>
      <c r="V14" s="32" t="s">
        <v>1</v>
      </c>
      <c r="W14" s="32" t="s">
        <v>2</v>
      </c>
      <c r="X14" s="32" t="str">
        <f t="shared" si="1"/>
        <v>ABC</v>
      </c>
    </row>
    <row r="15" spans="1:24" x14ac:dyDescent="0.25">
      <c r="A15" s="2" t="s">
        <v>6</v>
      </c>
      <c r="B15" s="3" t="s">
        <v>0</v>
      </c>
      <c r="C15" s="2" t="s">
        <v>2</v>
      </c>
      <c r="D15" s="3" t="s">
        <v>0</v>
      </c>
      <c r="E15" s="2" t="str">
        <f t="shared" si="0"/>
        <v>ACA</v>
      </c>
      <c r="F15" s="2"/>
      <c r="G15" s="2"/>
      <c r="H15" s="2"/>
      <c r="I15" s="2" t="s">
        <v>20</v>
      </c>
      <c r="J15" s="2" t="s">
        <v>0</v>
      </c>
      <c r="K15" s="2" t="s">
        <v>2</v>
      </c>
      <c r="L15" s="2" t="s">
        <v>2</v>
      </c>
      <c r="M15" s="2"/>
      <c r="N15" s="2" t="s">
        <v>1</v>
      </c>
      <c r="O15" s="2" t="s">
        <v>0</v>
      </c>
      <c r="P15" s="2" t="s">
        <v>1</v>
      </c>
      <c r="T15" s="32" t="s">
        <v>3</v>
      </c>
      <c r="U15" s="32" t="s">
        <v>0</v>
      </c>
      <c r="V15" s="32" t="s">
        <v>2</v>
      </c>
      <c r="W15" s="32" t="s">
        <v>0</v>
      </c>
      <c r="X15" s="32" t="str">
        <f t="shared" si="1"/>
        <v>ACA</v>
      </c>
    </row>
    <row r="16" spans="1:24" x14ac:dyDescent="0.25">
      <c r="A16" s="2" t="s">
        <v>7</v>
      </c>
      <c r="B16" s="3" t="s">
        <v>0</v>
      </c>
      <c r="C16" s="2" t="s">
        <v>2</v>
      </c>
      <c r="D16" s="3" t="s">
        <v>1</v>
      </c>
      <c r="E16" s="2" t="str">
        <f t="shared" si="0"/>
        <v>ACB</v>
      </c>
      <c r="F16" s="2"/>
      <c r="G16" s="2"/>
      <c r="H16" s="2"/>
      <c r="I16" s="2" t="s">
        <v>8</v>
      </c>
      <c r="J16" s="2" t="s">
        <v>2</v>
      </c>
      <c r="K16" s="2" t="s">
        <v>2</v>
      </c>
      <c r="L16" s="2" t="s">
        <v>0</v>
      </c>
      <c r="M16" s="2"/>
      <c r="N16" s="2" t="s">
        <v>1</v>
      </c>
      <c r="O16" s="2" t="s">
        <v>1</v>
      </c>
      <c r="P16" s="2" t="s">
        <v>2</v>
      </c>
      <c r="T16" s="32" t="s">
        <v>1</v>
      </c>
      <c r="U16" s="32" t="s">
        <v>0</v>
      </c>
      <c r="V16" s="32" t="s">
        <v>2</v>
      </c>
      <c r="W16" s="32" t="s">
        <v>1</v>
      </c>
      <c r="X16" s="32" t="str">
        <f t="shared" si="1"/>
        <v>ACB</v>
      </c>
    </row>
    <row r="17" spans="1:24" x14ac:dyDescent="0.25">
      <c r="A17" s="2" t="s">
        <v>8</v>
      </c>
      <c r="B17" s="3" t="s">
        <v>0</v>
      </c>
      <c r="C17" s="2" t="s">
        <v>2</v>
      </c>
      <c r="D17" s="3" t="s">
        <v>2</v>
      </c>
      <c r="E17" s="2" t="str">
        <f t="shared" si="0"/>
        <v>ACC</v>
      </c>
      <c r="F17" s="2"/>
      <c r="G17" s="2"/>
      <c r="H17" s="2"/>
      <c r="I17" s="2" t="s">
        <v>17</v>
      </c>
      <c r="J17" s="2" t="s">
        <v>2</v>
      </c>
      <c r="K17" s="2" t="s">
        <v>2</v>
      </c>
      <c r="L17" s="2" t="s">
        <v>1</v>
      </c>
      <c r="M17" s="2"/>
      <c r="N17" s="2" t="s">
        <v>1</v>
      </c>
      <c r="O17" s="2" t="s">
        <v>0</v>
      </c>
      <c r="P17" s="2" t="s">
        <v>2</v>
      </c>
      <c r="T17" s="32" t="s">
        <v>5</v>
      </c>
      <c r="U17" s="32" t="s">
        <v>0</v>
      </c>
      <c r="V17" s="32" t="s">
        <v>2</v>
      </c>
      <c r="W17" s="32" t="s">
        <v>2</v>
      </c>
      <c r="X17" s="32" t="str">
        <f t="shared" si="1"/>
        <v>ACC</v>
      </c>
    </row>
    <row r="18" spans="1:24" x14ac:dyDescent="0.25">
      <c r="A18" s="2" t="s">
        <v>9</v>
      </c>
      <c r="B18" s="3" t="s">
        <v>1</v>
      </c>
      <c r="C18" s="2" t="s">
        <v>0</v>
      </c>
      <c r="D18" s="3" t="s">
        <v>0</v>
      </c>
      <c r="E18" s="2" t="str">
        <f t="shared" si="0"/>
        <v>BAA</v>
      </c>
      <c r="F18" s="2"/>
      <c r="G18" s="2"/>
      <c r="H18" s="2"/>
      <c r="I18" s="2" t="s">
        <v>4</v>
      </c>
      <c r="J18" s="2" t="s">
        <v>1</v>
      </c>
      <c r="K18" s="2" t="s">
        <v>1</v>
      </c>
      <c r="L18" s="2" t="s">
        <v>0</v>
      </c>
      <c r="M18" s="2"/>
      <c r="N18" s="2" t="s">
        <v>1</v>
      </c>
      <c r="O18" s="2" t="s">
        <v>0</v>
      </c>
      <c r="P18" s="2" t="s">
        <v>2</v>
      </c>
      <c r="T18" s="32" t="s">
        <v>4</v>
      </c>
      <c r="U18" s="32" t="s">
        <v>1</v>
      </c>
      <c r="V18" s="32" t="s">
        <v>0</v>
      </c>
      <c r="W18" s="32" t="s">
        <v>0</v>
      </c>
      <c r="X18" s="32" t="str">
        <f t="shared" si="1"/>
        <v>BAA</v>
      </c>
    </row>
    <row r="19" spans="1:24" x14ac:dyDescent="0.25">
      <c r="A19" s="2" t="s">
        <v>10</v>
      </c>
      <c r="B19" s="3" t="s">
        <v>1</v>
      </c>
      <c r="C19" s="2" t="s">
        <v>0</v>
      </c>
      <c r="D19" s="3" t="s">
        <v>1</v>
      </c>
      <c r="E19" s="2" t="str">
        <f t="shared" si="0"/>
        <v>BAB</v>
      </c>
      <c r="F19" s="2"/>
      <c r="G19" s="2"/>
      <c r="H19" s="2"/>
      <c r="I19" s="2" t="s">
        <v>1</v>
      </c>
      <c r="J19" s="2" t="s">
        <v>0</v>
      </c>
      <c r="K19" s="2" t="s">
        <v>1</v>
      </c>
      <c r="L19" s="2" t="s">
        <v>0</v>
      </c>
      <c r="M19" s="2"/>
      <c r="N19" s="2" t="s">
        <v>1</v>
      </c>
      <c r="O19" s="2" t="s">
        <v>2</v>
      </c>
      <c r="P19" s="2" t="s">
        <v>2</v>
      </c>
      <c r="T19" s="32" t="s">
        <v>7</v>
      </c>
      <c r="U19" s="32" t="s">
        <v>1</v>
      </c>
      <c r="V19" s="32" t="s">
        <v>0</v>
      </c>
      <c r="W19" s="32" t="s">
        <v>1</v>
      </c>
      <c r="X19" s="32" t="str">
        <f t="shared" si="1"/>
        <v>BAB</v>
      </c>
    </row>
    <row r="20" spans="1:24" x14ac:dyDescent="0.25">
      <c r="A20" s="2" t="s">
        <v>11</v>
      </c>
      <c r="B20" s="3" t="s">
        <v>1</v>
      </c>
      <c r="C20" s="2" t="s">
        <v>0</v>
      </c>
      <c r="D20" s="3" t="s">
        <v>2</v>
      </c>
      <c r="E20" s="2" t="str">
        <f t="shared" si="0"/>
        <v>BAC</v>
      </c>
      <c r="F20" s="2"/>
      <c r="G20" s="2"/>
      <c r="H20" s="2"/>
      <c r="I20" s="2" t="s">
        <v>8</v>
      </c>
      <c r="J20" s="2" t="s">
        <v>2</v>
      </c>
      <c r="K20" s="2" t="s">
        <v>2</v>
      </c>
      <c r="L20" s="2" t="s">
        <v>0</v>
      </c>
      <c r="M20" s="2"/>
      <c r="N20" s="2" t="s">
        <v>1</v>
      </c>
      <c r="O20" s="2" t="s">
        <v>1</v>
      </c>
      <c r="P20" s="2" t="s">
        <v>2</v>
      </c>
      <c r="T20" s="32" t="s">
        <v>17</v>
      </c>
      <c r="U20" s="32" t="s">
        <v>1</v>
      </c>
      <c r="V20" s="32" t="s">
        <v>0</v>
      </c>
      <c r="W20" s="32" t="s">
        <v>2</v>
      </c>
      <c r="X20" s="32" t="str">
        <f t="shared" si="1"/>
        <v>BAC</v>
      </c>
    </row>
    <row r="21" spans="1:24" x14ac:dyDescent="0.25">
      <c r="A21" s="2" t="s">
        <v>12</v>
      </c>
      <c r="B21" s="3" t="s">
        <v>1</v>
      </c>
      <c r="C21" s="2" t="s">
        <v>1</v>
      </c>
      <c r="D21" s="3" t="s">
        <v>0</v>
      </c>
      <c r="E21" s="2" t="str">
        <f t="shared" si="0"/>
        <v>BBA</v>
      </c>
      <c r="F21" s="2"/>
      <c r="G21" s="2"/>
      <c r="H21" s="2"/>
      <c r="I21" s="2" t="s">
        <v>19</v>
      </c>
      <c r="J21" s="2" t="s">
        <v>0</v>
      </c>
      <c r="K21" s="2" t="s">
        <v>1</v>
      </c>
      <c r="L21" s="2" t="s">
        <v>2</v>
      </c>
      <c r="M21" s="2"/>
      <c r="N21" s="2" t="s">
        <v>1</v>
      </c>
      <c r="O21" s="2" t="s">
        <v>1</v>
      </c>
      <c r="P21" s="2" t="s">
        <v>1</v>
      </c>
      <c r="T21" s="32" t="s">
        <v>24</v>
      </c>
      <c r="U21" s="32" t="s">
        <v>1</v>
      </c>
      <c r="V21" s="32" t="s">
        <v>1</v>
      </c>
      <c r="W21" s="32" t="s">
        <v>0</v>
      </c>
      <c r="X21" s="32" t="str">
        <f t="shared" si="1"/>
        <v>BBA</v>
      </c>
    </row>
    <row r="22" spans="1:24" x14ac:dyDescent="0.25">
      <c r="A22" s="2" t="s">
        <v>13</v>
      </c>
      <c r="B22" s="3" t="s">
        <v>1</v>
      </c>
      <c r="C22" s="2" t="s">
        <v>1</v>
      </c>
      <c r="D22" s="3" t="s">
        <v>1</v>
      </c>
      <c r="E22" s="2" t="str">
        <f t="shared" si="0"/>
        <v>BBB</v>
      </c>
      <c r="F22" s="2"/>
      <c r="G22" s="2"/>
      <c r="H22" s="2"/>
      <c r="I22" s="2"/>
      <c r="J22" s="2"/>
      <c r="K22" s="2"/>
      <c r="L22" s="2"/>
      <c r="M22" s="2"/>
      <c r="N22" s="2"/>
      <c r="O22" s="2"/>
      <c r="T22" s="32" t="s">
        <v>2</v>
      </c>
      <c r="U22" s="32" t="s">
        <v>1</v>
      </c>
      <c r="V22" s="32" t="s">
        <v>1</v>
      </c>
      <c r="W22" s="32" t="s">
        <v>1</v>
      </c>
      <c r="X22" s="32" t="str">
        <f t="shared" si="1"/>
        <v>BBB</v>
      </c>
    </row>
    <row r="23" spans="1:24" x14ac:dyDescent="0.25">
      <c r="A23" s="2" t="s">
        <v>14</v>
      </c>
      <c r="B23" s="3" t="s">
        <v>1</v>
      </c>
      <c r="C23" s="2" t="s">
        <v>1</v>
      </c>
      <c r="D23" s="3" t="s">
        <v>2</v>
      </c>
      <c r="E23" s="2" t="str">
        <f t="shared" si="0"/>
        <v>BBC</v>
      </c>
      <c r="F23" s="2"/>
      <c r="G23" s="2"/>
      <c r="H23" s="2"/>
      <c r="I23" s="2"/>
      <c r="J23" s="2"/>
      <c r="K23" s="2"/>
      <c r="L23" s="2"/>
      <c r="M23" s="2"/>
      <c r="N23" s="2"/>
      <c r="O23" s="2"/>
      <c r="T23" s="32" t="s">
        <v>15</v>
      </c>
      <c r="U23" s="32" t="s">
        <v>1</v>
      </c>
      <c r="V23" s="32" t="s">
        <v>1</v>
      </c>
      <c r="W23" s="32" t="s">
        <v>2</v>
      </c>
      <c r="X23" s="32" t="str">
        <f t="shared" si="1"/>
        <v>BBC</v>
      </c>
    </row>
    <row r="24" spans="1:24" x14ac:dyDescent="0.25">
      <c r="A24" s="2" t="s">
        <v>15</v>
      </c>
      <c r="B24" s="3" t="s">
        <v>1</v>
      </c>
      <c r="C24" s="2" t="s">
        <v>2</v>
      </c>
      <c r="D24" s="3" t="s">
        <v>0</v>
      </c>
      <c r="E24" s="2" t="str">
        <f t="shared" si="0"/>
        <v>BCA</v>
      </c>
      <c r="F24" s="2"/>
      <c r="G24" s="2"/>
      <c r="H24" s="2"/>
      <c r="I24" s="2"/>
      <c r="J24" s="2"/>
      <c r="K24" s="2"/>
      <c r="L24" s="2"/>
      <c r="M24" s="2"/>
      <c r="N24" s="2"/>
      <c r="O24" s="2"/>
      <c r="T24" s="32" t="s">
        <v>18</v>
      </c>
      <c r="U24" s="32" t="s">
        <v>1</v>
      </c>
      <c r="V24" s="32" t="s">
        <v>2</v>
      </c>
      <c r="W24" s="32" t="s">
        <v>0</v>
      </c>
      <c r="X24" s="32" t="str">
        <f t="shared" si="1"/>
        <v>BCA</v>
      </c>
    </row>
    <row r="25" spans="1:24" x14ac:dyDescent="0.25">
      <c r="A25" s="2" t="s">
        <v>16</v>
      </c>
      <c r="B25" s="3" t="s">
        <v>1</v>
      </c>
      <c r="C25" s="2" t="s">
        <v>2</v>
      </c>
      <c r="D25" s="3" t="s">
        <v>1</v>
      </c>
      <c r="E25" s="2" t="str">
        <f t="shared" si="0"/>
        <v>BCB</v>
      </c>
      <c r="F25" s="2"/>
      <c r="G25" s="2"/>
      <c r="H25" s="2"/>
      <c r="I25" s="2"/>
      <c r="J25" s="2"/>
      <c r="K25" s="2"/>
      <c r="L25" s="2"/>
      <c r="M25" s="2"/>
      <c r="N25" s="2"/>
      <c r="O25" s="2"/>
      <c r="T25" s="32" t="s">
        <v>168</v>
      </c>
      <c r="U25" s="32" t="s">
        <v>1</v>
      </c>
      <c r="V25" s="32" t="s">
        <v>2</v>
      </c>
      <c r="W25" s="32" t="s">
        <v>1</v>
      </c>
      <c r="X25" s="32" t="str">
        <f t="shared" si="1"/>
        <v>BCB</v>
      </c>
    </row>
    <row r="26" spans="1:24" x14ac:dyDescent="0.25">
      <c r="A26" s="2" t="s">
        <v>17</v>
      </c>
      <c r="B26" s="3" t="s">
        <v>1</v>
      </c>
      <c r="C26" s="2" t="s">
        <v>2</v>
      </c>
      <c r="D26" s="3" t="s">
        <v>2</v>
      </c>
      <c r="E26" s="2" t="str">
        <f t="shared" si="0"/>
        <v>BCC</v>
      </c>
      <c r="F26" s="2"/>
      <c r="G26" s="2"/>
      <c r="H26" s="2"/>
      <c r="I26" s="2"/>
      <c r="J26" s="2"/>
      <c r="K26" s="2"/>
      <c r="L26" s="2"/>
      <c r="M26" s="2"/>
      <c r="N26" s="2"/>
      <c r="O26" s="2"/>
      <c r="T26" s="32" t="s">
        <v>19</v>
      </c>
      <c r="U26" s="32" t="s">
        <v>1</v>
      </c>
      <c r="V26" s="32" t="s">
        <v>2</v>
      </c>
      <c r="W26" s="32" t="s">
        <v>2</v>
      </c>
      <c r="X26" s="32" t="str">
        <f t="shared" si="1"/>
        <v>BCC</v>
      </c>
    </row>
    <row r="27" spans="1:24" x14ac:dyDescent="0.25">
      <c r="A27" s="2" t="s">
        <v>18</v>
      </c>
      <c r="B27" s="2" t="s">
        <v>2</v>
      </c>
      <c r="C27" s="2" t="s">
        <v>0</v>
      </c>
      <c r="D27" s="2" t="s">
        <v>0</v>
      </c>
      <c r="E27" s="2" t="str">
        <f t="shared" si="0"/>
        <v>CAA</v>
      </c>
      <c r="F27" s="2"/>
      <c r="G27" s="2"/>
      <c r="H27" s="2"/>
      <c r="I27" s="2"/>
      <c r="J27" s="2"/>
      <c r="K27" s="2"/>
      <c r="L27" s="2"/>
      <c r="M27" s="2"/>
      <c r="N27" s="2"/>
      <c r="O27" s="2"/>
      <c r="Q27" s="6"/>
      <c r="R27" s="6"/>
      <c r="S27" s="6"/>
      <c r="T27" s="32" t="s">
        <v>11</v>
      </c>
      <c r="U27" s="32" t="s">
        <v>2</v>
      </c>
      <c r="V27" s="32" t="s">
        <v>0</v>
      </c>
      <c r="W27" s="32" t="s">
        <v>0</v>
      </c>
      <c r="X27" s="32" t="str">
        <f t="shared" si="1"/>
        <v>CAA</v>
      </c>
    </row>
    <row r="28" spans="1:24" x14ac:dyDescent="0.25">
      <c r="A28" s="2" t="s">
        <v>19</v>
      </c>
      <c r="B28" s="3" t="s">
        <v>2</v>
      </c>
      <c r="C28" s="2" t="s">
        <v>0</v>
      </c>
      <c r="D28" s="3" t="s">
        <v>1</v>
      </c>
      <c r="E28" s="2" t="str">
        <f t="shared" si="0"/>
        <v>CAB</v>
      </c>
      <c r="F28" s="2"/>
      <c r="G28" s="2"/>
      <c r="H28" s="2"/>
      <c r="I28" s="2"/>
      <c r="J28" s="2"/>
      <c r="K28" s="2"/>
      <c r="L28" s="2"/>
      <c r="M28" s="2"/>
      <c r="N28" s="2"/>
      <c r="O28" s="2"/>
      <c r="Q28" s="6"/>
      <c r="R28" s="6"/>
      <c r="S28" s="6"/>
      <c r="T28" s="32" t="s">
        <v>10</v>
      </c>
      <c r="U28" s="32" t="s">
        <v>2</v>
      </c>
      <c r="V28" s="32" t="s">
        <v>0</v>
      </c>
      <c r="W28" s="32" t="s">
        <v>1</v>
      </c>
      <c r="X28" s="32" t="str">
        <f t="shared" si="1"/>
        <v>CAB</v>
      </c>
    </row>
    <row r="29" spans="1:24" x14ac:dyDescent="0.25">
      <c r="A29" s="2" t="s">
        <v>20</v>
      </c>
      <c r="B29" s="3" t="s">
        <v>2</v>
      </c>
      <c r="C29" s="2" t="s">
        <v>0</v>
      </c>
      <c r="D29" s="3" t="s">
        <v>2</v>
      </c>
      <c r="E29" s="2" t="str">
        <f t="shared" si="0"/>
        <v>CAC</v>
      </c>
      <c r="F29" s="2"/>
      <c r="G29" s="2"/>
      <c r="H29" s="2"/>
      <c r="I29" s="2"/>
      <c r="J29" s="2"/>
      <c r="K29" s="2"/>
      <c r="L29" s="2"/>
      <c r="M29" s="2"/>
      <c r="N29" s="2"/>
      <c r="O29" s="2"/>
      <c r="Q29" s="6"/>
      <c r="R29" s="6"/>
      <c r="S29" s="6"/>
      <c r="T29" s="32" t="s">
        <v>12</v>
      </c>
      <c r="U29" s="32" t="s">
        <v>2</v>
      </c>
      <c r="V29" s="32" t="s">
        <v>0</v>
      </c>
      <c r="W29" s="32" t="s">
        <v>2</v>
      </c>
      <c r="X29" s="32" t="str">
        <f t="shared" si="1"/>
        <v>CAC</v>
      </c>
    </row>
    <row r="30" spans="1:24" x14ac:dyDescent="0.25">
      <c r="A30" s="2" t="s">
        <v>21</v>
      </c>
      <c r="B30" s="3" t="s">
        <v>2</v>
      </c>
      <c r="C30" s="2" t="s">
        <v>1</v>
      </c>
      <c r="D30" s="3" t="s">
        <v>0</v>
      </c>
      <c r="E30" s="2" t="str">
        <f t="shared" si="0"/>
        <v>CBA</v>
      </c>
      <c r="F30" s="2"/>
      <c r="G30" s="2"/>
      <c r="H30" s="2"/>
      <c r="I30" s="2"/>
      <c r="J30" s="2"/>
      <c r="K30" s="2"/>
      <c r="L30" s="2"/>
      <c r="M30" s="2"/>
      <c r="N30" s="2"/>
      <c r="O30" s="2"/>
      <c r="Q30" s="6"/>
      <c r="R30" s="6"/>
      <c r="S30" s="6"/>
      <c r="T30" s="32" t="s">
        <v>8</v>
      </c>
      <c r="U30" s="32" t="s">
        <v>2</v>
      </c>
      <c r="V30" s="32" t="s">
        <v>1</v>
      </c>
      <c r="W30" s="32" t="s">
        <v>0</v>
      </c>
      <c r="X30" s="32" t="str">
        <f t="shared" si="1"/>
        <v>CBA</v>
      </c>
    </row>
    <row r="31" spans="1:24" x14ac:dyDescent="0.25">
      <c r="A31" s="2" t="s">
        <v>22</v>
      </c>
      <c r="B31" s="3" t="s">
        <v>2</v>
      </c>
      <c r="C31" s="2" t="s">
        <v>1</v>
      </c>
      <c r="D31" s="3" t="s">
        <v>1</v>
      </c>
      <c r="E31" s="2" t="str">
        <f t="shared" si="0"/>
        <v>CBB</v>
      </c>
      <c r="F31" s="2"/>
      <c r="G31" s="2"/>
      <c r="H31" s="2"/>
      <c r="I31" s="2"/>
      <c r="J31" s="2"/>
      <c r="K31" s="2"/>
      <c r="L31" s="2"/>
      <c r="M31" s="2"/>
      <c r="N31" s="2"/>
      <c r="O31" s="2"/>
      <c r="Q31" s="6"/>
      <c r="R31" s="6"/>
      <c r="S31" s="6"/>
      <c r="T31" s="32" t="s">
        <v>6</v>
      </c>
      <c r="U31" s="32" t="s">
        <v>2</v>
      </c>
      <c r="V31" s="32" t="s">
        <v>1</v>
      </c>
      <c r="W31" s="32" t="s">
        <v>1</v>
      </c>
      <c r="X31" s="32" t="str">
        <f t="shared" si="1"/>
        <v>CBB</v>
      </c>
    </row>
    <row r="32" spans="1:24" x14ac:dyDescent="0.25">
      <c r="A32" s="2" t="s">
        <v>23</v>
      </c>
      <c r="B32" s="3" t="s">
        <v>2</v>
      </c>
      <c r="C32" s="2" t="s">
        <v>1</v>
      </c>
      <c r="D32" s="3" t="s">
        <v>2</v>
      </c>
      <c r="E32" s="2" t="str">
        <f t="shared" si="0"/>
        <v>CBC</v>
      </c>
      <c r="F32" s="2"/>
      <c r="G32" s="2"/>
      <c r="H32" s="2"/>
      <c r="I32" s="2"/>
      <c r="J32" s="2"/>
      <c r="K32" s="2"/>
      <c r="L32" s="2"/>
      <c r="M32" s="2"/>
      <c r="N32" s="2"/>
      <c r="O32" s="2"/>
      <c r="Q32" s="6"/>
      <c r="R32" s="6"/>
      <c r="S32" s="6"/>
      <c r="T32" s="32" t="s">
        <v>9</v>
      </c>
      <c r="U32" s="32" t="s">
        <v>2</v>
      </c>
      <c r="V32" s="32" t="s">
        <v>1</v>
      </c>
      <c r="W32" s="32" t="s">
        <v>2</v>
      </c>
      <c r="X32" s="32" t="str">
        <f t="shared" si="1"/>
        <v>CBC</v>
      </c>
    </row>
    <row r="33" spans="1:24" x14ac:dyDescent="0.25">
      <c r="A33" s="2" t="s">
        <v>24</v>
      </c>
      <c r="B33" s="3" t="s">
        <v>2</v>
      </c>
      <c r="C33" s="2" t="s">
        <v>2</v>
      </c>
      <c r="D33" s="3" t="s">
        <v>0</v>
      </c>
      <c r="E33" s="2" t="str">
        <f t="shared" si="0"/>
        <v>CCA</v>
      </c>
      <c r="F33" s="2"/>
      <c r="G33" s="2"/>
      <c r="H33" s="2"/>
      <c r="I33" s="2"/>
      <c r="J33" s="2"/>
      <c r="K33" s="2"/>
      <c r="L33" s="2"/>
      <c r="M33" s="2"/>
      <c r="N33" s="2"/>
      <c r="O33" s="2"/>
      <c r="Q33" s="6"/>
      <c r="R33" s="6"/>
      <c r="S33" s="6"/>
      <c r="T33" s="32" t="s">
        <v>14</v>
      </c>
      <c r="U33" s="32" t="s">
        <v>2</v>
      </c>
      <c r="V33" s="32" t="s">
        <v>2</v>
      </c>
      <c r="W33" s="32" t="s">
        <v>0</v>
      </c>
      <c r="X33" s="32" t="str">
        <f t="shared" si="1"/>
        <v>CCA</v>
      </c>
    </row>
    <row r="34" spans="1:24" x14ac:dyDescent="0.25">
      <c r="A34" s="2" t="s">
        <v>25</v>
      </c>
      <c r="B34" s="3" t="s">
        <v>2</v>
      </c>
      <c r="C34" s="2" t="s">
        <v>2</v>
      </c>
      <c r="D34" s="3" t="s">
        <v>1</v>
      </c>
      <c r="E34" s="2" t="str">
        <f t="shared" si="0"/>
        <v>CCB</v>
      </c>
      <c r="F34" s="2"/>
      <c r="G34" s="2"/>
      <c r="H34" s="2"/>
      <c r="I34" s="2"/>
      <c r="J34" s="2"/>
      <c r="K34" s="2"/>
      <c r="L34" s="2"/>
      <c r="M34" s="2"/>
      <c r="N34" s="2"/>
      <c r="O34" s="2"/>
      <c r="Q34" s="6"/>
      <c r="R34" s="6"/>
      <c r="S34" s="6"/>
      <c r="T34" s="32" t="s">
        <v>13</v>
      </c>
      <c r="U34" s="32" t="s">
        <v>2</v>
      </c>
      <c r="V34" s="32" t="s">
        <v>2</v>
      </c>
      <c r="W34" s="32" t="s">
        <v>1</v>
      </c>
      <c r="X34" s="32" t="str">
        <f t="shared" si="1"/>
        <v>CCB</v>
      </c>
    </row>
    <row r="35" spans="1:24" x14ac:dyDescent="0.25">
      <c r="A35" s="2">
        <v>9</v>
      </c>
      <c r="B35" s="3" t="s">
        <v>2</v>
      </c>
      <c r="C35" s="2" t="s">
        <v>2</v>
      </c>
      <c r="D35" s="3" t="s">
        <v>2</v>
      </c>
      <c r="E35" s="2" t="str">
        <f t="shared" si="0"/>
        <v>CCC</v>
      </c>
      <c r="F35" s="2"/>
      <c r="G35" s="2"/>
      <c r="H35" s="2"/>
      <c r="I35" s="2"/>
      <c r="J35" s="2"/>
      <c r="K35" s="2"/>
      <c r="L35" s="2"/>
      <c r="M35" s="2"/>
      <c r="N35" s="2"/>
      <c r="O35" s="2"/>
      <c r="T35" s="32" t="s">
        <v>16</v>
      </c>
      <c r="U35" s="32" t="s">
        <v>2</v>
      </c>
      <c r="V35" s="32" t="s">
        <v>2</v>
      </c>
      <c r="W35" s="32" t="s">
        <v>2</v>
      </c>
      <c r="X35" s="32" t="str">
        <f t="shared" si="1"/>
        <v>CCC</v>
      </c>
    </row>
    <row r="36" spans="1:24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24" x14ac:dyDescent="0.25">
      <c r="A37" s="1">
        <v>1</v>
      </c>
      <c r="B37">
        <v>2</v>
      </c>
      <c r="C37" s="1">
        <v>3</v>
      </c>
      <c r="D37">
        <v>4</v>
      </c>
      <c r="E37" s="1">
        <v>5</v>
      </c>
      <c r="F37">
        <v>6</v>
      </c>
      <c r="G37" s="1">
        <v>7</v>
      </c>
      <c r="H37">
        <v>8</v>
      </c>
      <c r="I37" s="1">
        <v>9</v>
      </c>
      <c r="J37">
        <v>10</v>
      </c>
      <c r="K37" s="1">
        <v>11</v>
      </c>
      <c r="L37">
        <v>12</v>
      </c>
      <c r="M37" s="1">
        <v>13</v>
      </c>
      <c r="N37">
        <v>14</v>
      </c>
      <c r="O37" s="1">
        <v>15</v>
      </c>
      <c r="P37">
        <v>16</v>
      </c>
      <c r="Q37" s="1">
        <v>17</v>
      </c>
      <c r="R37">
        <v>18</v>
      </c>
      <c r="S37" s="1">
        <v>19</v>
      </c>
    </row>
    <row r="38" spans="1:24" x14ac:dyDescent="0.25">
      <c r="A38" s="22" t="s">
        <v>2</v>
      </c>
      <c r="B38" t="str">
        <f>LOOKUP(A38,A9:A35,B9:B35)</f>
        <v>A</v>
      </c>
      <c r="C38" t="str">
        <f>LOOKUP(A38,A9:A35,C9:C35)</f>
        <v>A</v>
      </c>
      <c r="D38" t="str">
        <f>LOOKUP(A38,A9:A35,D9:D35)</f>
        <v>C</v>
      </c>
    </row>
    <row r="40" spans="1:24" x14ac:dyDescent="0.25">
      <c r="A40" s="22" t="s">
        <v>167</v>
      </c>
      <c r="B40" t="str">
        <f>INDEX(A9:A35,MATCH(A40,E9:E35,0))</f>
        <v>X</v>
      </c>
    </row>
    <row r="42" spans="1:24" x14ac:dyDescent="0.25">
      <c r="A42" s="1" t="s">
        <v>21</v>
      </c>
      <c r="D42" t="s">
        <v>21</v>
      </c>
      <c r="H42" t="s">
        <v>21</v>
      </c>
      <c r="K42" s="1" t="s">
        <v>21</v>
      </c>
      <c r="O42" t="s">
        <v>21</v>
      </c>
    </row>
    <row r="43" spans="1:24" x14ac:dyDescent="0.25">
      <c r="A43" t="s">
        <v>43</v>
      </c>
      <c r="B43" t="s">
        <v>44</v>
      </c>
      <c r="C43" t="s">
        <v>45</v>
      </c>
      <c r="D43" t="s">
        <v>43</v>
      </c>
      <c r="E43" t="s">
        <v>44</v>
      </c>
      <c r="F43"/>
      <c r="G43" t="s">
        <v>45</v>
      </c>
      <c r="H43" t="s">
        <v>43</v>
      </c>
      <c r="I43" t="s">
        <v>44</v>
      </c>
      <c r="J43" t="s">
        <v>45</v>
      </c>
      <c r="K43" t="s">
        <v>43</v>
      </c>
      <c r="M43" t="s">
        <v>44</v>
      </c>
      <c r="N43" t="s">
        <v>45</v>
      </c>
      <c r="O43" t="s">
        <v>43</v>
      </c>
      <c r="P43" t="s">
        <v>44</v>
      </c>
      <c r="Q43" t="s">
        <v>45</v>
      </c>
    </row>
    <row r="44" spans="1:24" x14ac:dyDescent="0.25">
      <c r="A44" t="s">
        <v>44</v>
      </c>
      <c r="B44" t="s">
        <v>43</v>
      </c>
      <c r="C44" t="s">
        <v>45</v>
      </c>
      <c r="D44" t="s">
        <v>44</v>
      </c>
      <c r="E44" t="s">
        <v>43</v>
      </c>
      <c r="F44"/>
      <c r="G44" t="s">
        <v>43</v>
      </c>
      <c r="H44" t="s">
        <v>45</v>
      </c>
      <c r="I44" t="s">
        <v>44</v>
      </c>
      <c r="J44" t="s">
        <v>43</v>
      </c>
      <c r="K44" t="s">
        <v>45</v>
      </c>
      <c r="M44" t="s">
        <v>44</v>
      </c>
      <c r="N44" t="s">
        <v>43</v>
      </c>
      <c r="O44" t="s">
        <v>45</v>
      </c>
      <c r="P44" t="s">
        <v>45</v>
      </c>
      <c r="Q44" t="s">
        <v>44</v>
      </c>
    </row>
    <row r="45" spans="1:24" x14ac:dyDescent="0.25">
      <c r="A45" s="1" t="s">
        <v>19</v>
      </c>
      <c r="D45" t="s">
        <v>1</v>
      </c>
      <c r="H45" t="s">
        <v>5</v>
      </c>
      <c r="K45" s="1" t="s">
        <v>5</v>
      </c>
      <c r="O45" t="s">
        <v>17</v>
      </c>
    </row>
    <row r="46" spans="1:24" x14ac:dyDescent="0.25">
      <c r="A46" s="1">
        <v>25</v>
      </c>
      <c r="D46">
        <v>7</v>
      </c>
      <c r="H46">
        <v>11</v>
      </c>
      <c r="K46" s="1">
        <v>11</v>
      </c>
      <c r="O46">
        <v>23</v>
      </c>
    </row>
    <row r="47" spans="1:24" x14ac:dyDescent="0.25">
      <c r="A47" s="1" t="s">
        <v>21</v>
      </c>
      <c r="D47" t="s">
        <v>21</v>
      </c>
      <c r="H47" t="s">
        <v>22</v>
      </c>
      <c r="K47" s="1" t="s">
        <v>12</v>
      </c>
      <c r="O47" t="s">
        <v>2</v>
      </c>
    </row>
    <row r="48" spans="1:24" x14ac:dyDescent="0.25">
      <c r="A48" s="1" t="s">
        <v>23</v>
      </c>
      <c r="D48" t="s">
        <v>14</v>
      </c>
      <c r="H48" t="s">
        <v>11</v>
      </c>
      <c r="K48" s="1" t="s">
        <v>1</v>
      </c>
      <c r="O48" t="s">
        <v>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neariseMatrix">
                <anchor moveWithCells="1" sizeWithCells="1">
                  <from>
                    <xdr:col>14</xdr:col>
                    <xdr:colOff>285750</xdr:colOff>
                    <xdr:row>2</xdr:row>
                    <xdr:rowOff>0</xdr:rowOff>
                  </from>
                  <to>
                    <xdr:col>19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6"/>
  <sheetViews>
    <sheetView tabSelected="1" workbookViewId="0">
      <selection activeCell="A5" sqref="A5"/>
    </sheetView>
  </sheetViews>
  <sheetFormatPr defaultRowHeight="15" x14ac:dyDescent="0.25"/>
  <cols>
    <col min="1" max="1" width="159.42578125" customWidth="1"/>
    <col min="2" max="2" width="13.85546875" customWidth="1"/>
  </cols>
  <sheetData>
    <row r="1" spans="1:1" ht="94.5" customHeight="1" x14ac:dyDescent="0.25">
      <c r="A1" s="4" t="s">
        <v>27</v>
      </c>
    </row>
    <row r="2" spans="1:1" s="5" customFormat="1" ht="147" customHeight="1" x14ac:dyDescent="0.2">
      <c r="A2" s="4" t="s">
        <v>169</v>
      </c>
    </row>
    <row r="3" spans="1:1" ht="113.25" customHeight="1" x14ac:dyDescent="0.25">
      <c r="A3" s="4" t="s">
        <v>170</v>
      </c>
    </row>
    <row r="4" spans="1:1" ht="132" customHeight="1" x14ac:dyDescent="0.25">
      <c r="A4" s="4" t="s">
        <v>171</v>
      </c>
    </row>
    <row r="5" spans="1:1" ht="90" x14ac:dyDescent="0.25">
      <c r="A5" s="4" t="s">
        <v>172</v>
      </c>
    </row>
    <row r="6" spans="1:1" ht="33.75" x14ac:dyDescent="0.25">
      <c r="A6" s="4" t="s">
        <v>173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xtToMatrix">
                <anchor moveWithCells="1" sizeWithCells="1">
                  <from>
                    <xdr:col>1</xdr:col>
                    <xdr:colOff>9525</xdr:colOff>
                    <xdr:row>1</xdr:row>
                    <xdr:rowOff>209550</xdr:rowOff>
                  </from>
                  <to>
                    <xdr:col>1</xdr:col>
                    <xdr:colOff>885825</xdr:colOff>
                    <xdr:row>1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ransform3D2">
                <anchor moveWithCells="1" sizeWithCells="1">
                  <from>
                    <xdr:col>1</xdr:col>
                    <xdr:colOff>28575</xdr:colOff>
                    <xdr:row>2</xdr:row>
                    <xdr:rowOff>180975</xdr:rowOff>
                  </from>
                  <to>
                    <xdr:col>1</xdr:col>
                    <xdr:colOff>857250</xdr:colOff>
                    <xdr:row>2</xdr:row>
                    <xdr:rowOff>1038225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92"/>
  <sheetViews>
    <sheetView topLeftCell="A41" workbookViewId="0">
      <selection activeCell="Q84" sqref="Q84:Q92"/>
    </sheetView>
  </sheetViews>
  <sheetFormatPr defaultRowHeight="15" x14ac:dyDescent="0.25"/>
  <cols>
    <col min="1" max="15" width="3.28515625" customWidth="1"/>
    <col min="16" max="20" width="4.42578125" customWidth="1"/>
    <col min="21" max="33" width="4.140625" customWidth="1"/>
  </cols>
  <sheetData>
    <row r="1" spans="1:25" x14ac:dyDescent="0.25">
      <c r="A1" t="s">
        <v>33</v>
      </c>
    </row>
    <row r="2" spans="1:25" x14ac:dyDescent="0.25">
      <c r="A2" s="7" t="s">
        <v>1</v>
      </c>
      <c r="B2" s="8" t="s">
        <v>1</v>
      </c>
      <c r="C2" s="9" t="s">
        <v>2</v>
      </c>
      <c r="D2" s="9" t="s">
        <v>0</v>
      </c>
      <c r="E2" s="10" t="s">
        <v>0</v>
      </c>
      <c r="F2" s="7" t="s">
        <v>1</v>
      </c>
      <c r="G2" s="8" t="s">
        <v>1</v>
      </c>
      <c r="H2" s="9" t="s">
        <v>2</v>
      </c>
      <c r="I2" s="9" t="s">
        <v>2</v>
      </c>
      <c r="J2" s="10" t="s">
        <v>0</v>
      </c>
      <c r="K2" s="7" t="s">
        <v>0</v>
      </c>
      <c r="L2" s="8" t="s">
        <v>2</v>
      </c>
      <c r="M2" s="9" t="s">
        <v>0</v>
      </c>
      <c r="N2" s="9" t="s">
        <v>2</v>
      </c>
      <c r="O2" s="10" t="s">
        <v>2</v>
      </c>
    </row>
    <row r="5" spans="1:25" x14ac:dyDescent="0.25">
      <c r="A5" t="s">
        <v>1</v>
      </c>
      <c r="B5" t="s">
        <v>1</v>
      </c>
    </row>
    <row r="6" spans="1:25" x14ac:dyDescent="0.25">
      <c r="C6" t="s">
        <v>0</v>
      </c>
      <c r="D6" t="s">
        <v>2</v>
      </c>
      <c r="E6" t="s">
        <v>0</v>
      </c>
    </row>
    <row r="7" spans="1:25" x14ac:dyDescent="0.25">
      <c r="C7" t="s">
        <v>0</v>
      </c>
      <c r="D7" t="s">
        <v>0</v>
      </c>
      <c r="E7" t="s">
        <v>2</v>
      </c>
    </row>
    <row r="8" spans="1:25" x14ac:dyDescent="0.25">
      <c r="F8" t="s">
        <v>1</v>
      </c>
      <c r="G8" t="s">
        <v>1</v>
      </c>
    </row>
    <row r="9" spans="1:25" x14ac:dyDescent="0.25">
      <c r="H9" t="s">
        <v>2</v>
      </c>
      <c r="I9" t="s">
        <v>0</v>
      </c>
      <c r="J9" t="s">
        <v>2</v>
      </c>
    </row>
    <row r="10" spans="1:25" x14ac:dyDescent="0.25">
      <c r="H10" t="s">
        <v>0</v>
      </c>
      <c r="I10" t="s">
        <v>2</v>
      </c>
      <c r="J10" t="s">
        <v>2</v>
      </c>
    </row>
    <row r="11" spans="1:25" x14ac:dyDescent="0.25">
      <c r="K11" t="s">
        <v>2</v>
      </c>
      <c r="L11" t="s">
        <v>0</v>
      </c>
    </row>
    <row r="12" spans="1:25" x14ac:dyDescent="0.25">
      <c r="M12" t="s">
        <v>2</v>
      </c>
      <c r="N12" t="s">
        <v>0</v>
      </c>
      <c r="O12" t="s">
        <v>2</v>
      </c>
    </row>
    <row r="13" spans="1:25" x14ac:dyDescent="0.25">
      <c r="M13" t="s">
        <v>2</v>
      </c>
      <c r="N13" t="s">
        <v>2</v>
      </c>
      <c r="O13" t="s">
        <v>0</v>
      </c>
    </row>
    <row r="15" spans="1:25" x14ac:dyDescent="0.25">
      <c r="A15" t="s">
        <v>1</v>
      </c>
      <c r="B15" t="s">
        <v>1</v>
      </c>
      <c r="C15" t="s">
        <v>0</v>
      </c>
      <c r="D15" t="s">
        <v>2</v>
      </c>
      <c r="E15" t="s">
        <v>0</v>
      </c>
      <c r="F15" t="s">
        <v>1</v>
      </c>
      <c r="G15" t="s">
        <v>1</v>
      </c>
      <c r="H15" t="s">
        <v>2</v>
      </c>
      <c r="I15" t="s">
        <v>0</v>
      </c>
      <c r="J15" t="s">
        <v>2</v>
      </c>
      <c r="K15" t="s">
        <v>2</v>
      </c>
      <c r="L15" t="s">
        <v>0</v>
      </c>
      <c r="M15" t="s">
        <v>2</v>
      </c>
      <c r="N15" t="s">
        <v>0</v>
      </c>
      <c r="O15" t="s">
        <v>2</v>
      </c>
      <c r="P15" t="str">
        <f>A15&amp;B15&amp;C15</f>
        <v>BBA</v>
      </c>
      <c r="Q15" t="str">
        <f>D15&amp;E15&amp;F15</f>
        <v>CAB</v>
      </c>
      <c r="R15" t="str">
        <f>G15&amp;H15&amp;I15</f>
        <v>BCA</v>
      </c>
      <c r="S15" t="str">
        <f>J15&amp;K15&amp;L15</f>
        <v>CCA</v>
      </c>
      <c r="T15" t="str">
        <f>M15&amp;N15&amp;O15</f>
        <v>CAC</v>
      </c>
      <c r="U15" t="str">
        <f>INDEX(Sheet1!$A$9:$A$35,MATCH(P15,Sheet1!$E$9:$E$35,0))</f>
        <v>M</v>
      </c>
      <c r="V15" t="str">
        <f>INDEX(Sheet1!$A$9:$A$35,MATCH(Q15,Sheet1!$E$9:$E$35,0))</f>
        <v>T</v>
      </c>
      <c r="W15" t="str">
        <f>INDEX(Sheet1!$A$9:$A$35,MATCH(R15,Sheet1!$E$9:$E$35,0))</f>
        <v>P</v>
      </c>
      <c r="X15" t="str">
        <f>INDEX(Sheet1!$A$9:$A$35,MATCH(S15,Sheet1!$E$9:$E$35,0))</f>
        <v>Y</v>
      </c>
      <c r="Y15" t="str">
        <f>INDEX(Sheet1!$A$9:$A$35,MATCH(T15,Sheet1!$E$9:$E$35,0))</f>
        <v>U</v>
      </c>
    </row>
    <row r="16" spans="1:25" x14ac:dyDescent="0.25">
      <c r="A16" t="s">
        <v>1</v>
      </c>
      <c r="B16" t="s">
        <v>1</v>
      </c>
      <c r="C16" t="s">
        <v>0</v>
      </c>
      <c r="D16" t="s">
        <v>2</v>
      </c>
      <c r="E16" t="s">
        <v>0</v>
      </c>
      <c r="F16" t="s">
        <v>1</v>
      </c>
      <c r="G16" t="s">
        <v>1</v>
      </c>
      <c r="H16" t="s">
        <v>2</v>
      </c>
      <c r="I16" t="s">
        <v>0</v>
      </c>
      <c r="J16" t="s">
        <v>2</v>
      </c>
      <c r="K16" t="s">
        <v>2</v>
      </c>
      <c r="L16" t="s">
        <v>0</v>
      </c>
      <c r="M16" t="s">
        <v>2</v>
      </c>
      <c r="N16" t="s">
        <v>2</v>
      </c>
      <c r="O16" t="s">
        <v>0</v>
      </c>
      <c r="P16" t="str">
        <f t="shared" ref="P16:P22" si="0">A16&amp;B16&amp;C16</f>
        <v>BBA</v>
      </c>
      <c r="Q16" t="str">
        <f t="shared" ref="Q16:Q22" si="1">D16&amp;E16&amp;F16</f>
        <v>CAB</v>
      </c>
      <c r="R16" t="str">
        <f t="shared" ref="R16:R22" si="2">G16&amp;H16&amp;I16</f>
        <v>BCA</v>
      </c>
      <c r="S16" t="str">
        <f t="shared" ref="S16:S22" si="3">J16&amp;K16&amp;L16</f>
        <v>CCA</v>
      </c>
      <c r="T16" t="str">
        <f t="shared" ref="T16:T22" si="4">M16&amp;N16&amp;O16</f>
        <v>CCA</v>
      </c>
      <c r="U16" t="str">
        <f>INDEX(Sheet1!$A$9:$A$35,MATCH(P16,Sheet1!$E$9:$E$35,0))</f>
        <v>M</v>
      </c>
      <c r="V16" t="str">
        <f>INDEX(Sheet1!$A$9:$A$35,MATCH(Q16,Sheet1!$E$9:$E$35,0))</f>
        <v>T</v>
      </c>
      <c r="W16" t="str">
        <f>INDEX(Sheet1!$A$9:$A$35,MATCH(R16,Sheet1!$E$9:$E$35,0))</f>
        <v>P</v>
      </c>
      <c r="X16" t="str">
        <f>INDEX(Sheet1!$A$9:$A$35,MATCH(S16,Sheet1!$E$9:$E$35,0))</f>
        <v>Y</v>
      </c>
      <c r="Y16" t="str">
        <f>INDEX(Sheet1!$A$9:$A$35,MATCH(T16,Sheet1!$E$9:$E$35,0))</f>
        <v>Y</v>
      </c>
    </row>
    <row r="17" spans="1:25" x14ac:dyDescent="0.25">
      <c r="A17" t="s">
        <v>1</v>
      </c>
      <c r="B17" t="s">
        <v>1</v>
      </c>
      <c r="C17" t="s">
        <v>0</v>
      </c>
      <c r="D17" t="s">
        <v>2</v>
      </c>
      <c r="E17" t="s">
        <v>0</v>
      </c>
      <c r="F17" t="s">
        <v>1</v>
      </c>
      <c r="G17" t="s">
        <v>1</v>
      </c>
      <c r="H17" t="s">
        <v>0</v>
      </c>
      <c r="I17" t="s">
        <v>2</v>
      </c>
      <c r="J17" t="s">
        <v>2</v>
      </c>
      <c r="K17" t="s">
        <v>2</v>
      </c>
      <c r="L17" t="s">
        <v>0</v>
      </c>
      <c r="M17" t="s">
        <v>2</v>
      </c>
      <c r="N17" t="s">
        <v>0</v>
      </c>
      <c r="O17" t="s">
        <v>2</v>
      </c>
      <c r="P17" t="str">
        <f t="shared" si="0"/>
        <v>BBA</v>
      </c>
      <c r="Q17" t="str">
        <f t="shared" si="1"/>
        <v>CAB</v>
      </c>
      <c r="R17" t="str">
        <f t="shared" si="2"/>
        <v>BAC</v>
      </c>
      <c r="S17" t="str">
        <f t="shared" si="3"/>
        <v>CCA</v>
      </c>
      <c r="T17" t="str">
        <f t="shared" si="4"/>
        <v>CAC</v>
      </c>
      <c r="U17" t="str">
        <f>INDEX(Sheet1!$A$9:$A$35,MATCH(P17,Sheet1!$E$9:$E$35,0))</f>
        <v>M</v>
      </c>
      <c r="V17" t="str">
        <f>INDEX(Sheet1!$A$9:$A$35,MATCH(Q17,Sheet1!$E$9:$E$35,0))</f>
        <v>T</v>
      </c>
      <c r="W17" t="str">
        <f>INDEX(Sheet1!$A$9:$A$35,MATCH(R17,Sheet1!$E$9:$E$35,0))</f>
        <v>L</v>
      </c>
      <c r="X17" t="str">
        <f>INDEX(Sheet1!$A$9:$A$35,MATCH(S17,Sheet1!$E$9:$E$35,0))</f>
        <v>Y</v>
      </c>
      <c r="Y17" t="str">
        <f>INDEX(Sheet1!$A$9:$A$35,MATCH(T17,Sheet1!$E$9:$E$35,0))</f>
        <v>U</v>
      </c>
    </row>
    <row r="18" spans="1:25" x14ac:dyDescent="0.25">
      <c r="A18" t="s">
        <v>1</v>
      </c>
      <c r="B18" t="s">
        <v>1</v>
      </c>
      <c r="C18" t="s">
        <v>0</v>
      </c>
      <c r="D18" t="s">
        <v>2</v>
      </c>
      <c r="E18" t="s">
        <v>0</v>
      </c>
      <c r="F18" t="s">
        <v>1</v>
      </c>
      <c r="G18" t="s">
        <v>1</v>
      </c>
      <c r="H18" t="s">
        <v>0</v>
      </c>
      <c r="I18" t="s">
        <v>2</v>
      </c>
      <c r="J18" t="s">
        <v>2</v>
      </c>
      <c r="K18" t="s">
        <v>2</v>
      </c>
      <c r="L18" t="s">
        <v>0</v>
      </c>
      <c r="M18" t="s">
        <v>2</v>
      </c>
      <c r="N18" t="s">
        <v>2</v>
      </c>
      <c r="O18" t="s">
        <v>0</v>
      </c>
      <c r="P18" t="str">
        <f t="shared" si="0"/>
        <v>BBA</v>
      </c>
      <c r="Q18" t="str">
        <f t="shared" si="1"/>
        <v>CAB</v>
      </c>
      <c r="R18" t="str">
        <f t="shared" si="2"/>
        <v>BAC</v>
      </c>
      <c r="S18" t="str">
        <f t="shared" si="3"/>
        <v>CCA</v>
      </c>
      <c r="T18" t="str">
        <f t="shared" si="4"/>
        <v>CCA</v>
      </c>
      <c r="U18" t="str">
        <f>INDEX(Sheet1!$A$9:$A$35,MATCH(P18,Sheet1!$E$9:$E$35,0))</f>
        <v>M</v>
      </c>
      <c r="V18" t="str">
        <f>INDEX(Sheet1!$A$9:$A$35,MATCH(Q18,Sheet1!$E$9:$E$35,0))</f>
        <v>T</v>
      </c>
      <c r="W18" t="str">
        <f>INDEX(Sheet1!$A$9:$A$35,MATCH(R18,Sheet1!$E$9:$E$35,0))</f>
        <v>L</v>
      </c>
      <c r="X18" t="str">
        <f>INDEX(Sheet1!$A$9:$A$35,MATCH(S18,Sheet1!$E$9:$E$35,0))</f>
        <v>Y</v>
      </c>
      <c r="Y18" t="str">
        <f>INDEX(Sheet1!$A$9:$A$35,MATCH(T18,Sheet1!$E$9:$E$35,0))</f>
        <v>Y</v>
      </c>
    </row>
    <row r="19" spans="1:25" x14ac:dyDescent="0.25">
      <c r="A19" t="s">
        <v>1</v>
      </c>
      <c r="B19" t="s">
        <v>1</v>
      </c>
      <c r="C19" t="s">
        <v>0</v>
      </c>
      <c r="D19" t="s">
        <v>0</v>
      </c>
      <c r="E19" t="s">
        <v>2</v>
      </c>
      <c r="F19" t="s">
        <v>1</v>
      </c>
      <c r="G19" t="s">
        <v>1</v>
      </c>
      <c r="H19" t="s">
        <v>2</v>
      </c>
      <c r="I19" t="s">
        <v>0</v>
      </c>
      <c r="J19" t="s">
        <v>2</v>
      </c>
      <c r="K19" t="s">
        <v>2</v>
      </c>
      <c r="L19" t="s">
        <v>0</v>
      </c>
      <c r="M19" t="s">
        <v>2</v>
      </c>
      <c r="N19" t="s">
        <v>0</v>
      </c>
      <c r="O19" t="s">
        <v>2</v>
      </c>
      <c r="P19" t="str">
        <f t="shared" si="0"/>
        <v>BBA</v>
      </c>
      <c r="Q19" t="str">
        <f t="shared" si="1"/>
        <v>ACB</v>
      </c>
      <c r="R19" t="str">
        <f t="shared" si="2"/>
        <v>BCA</v>
      </c>
      <c r="S19" t="str">
        <f t="shared" si="3"/>
        <v>CCA</v>
      </c>
      <c r="T19" t="str">
        <f t="shared" si="4"/>
        <v>CAC</v>
      </c>
      <c r="U19" t="str">
        <f>INDEX(Sheet1!$A$9:$A$35,MATCH(P19,Sheet1!$E$9:$E$35,0))</f>
        <v>M</v>
      </c>
      <c r="V19" t="str">
        <f>INDEX(Sheet1!$A$9:$A$35,MATCH(Q19,Sheet1!$E$9:$E$35,0))</f>
        <v>H</v>
      </c>
      <c r="W19" t="str">
        <f>INDEX(Sheet1!$A$9:$A$35,MATCH(R19,Sheet1!$E$9:$E$35,0))</f>
        <v>P</v>
      </c>
      <c r="X19" t="str">
        <f>INDEX(Sheet1!$A$9:$A$35,MATCH(S19,Sheet1!$E$9:$E$35,0))</f>
        <v>Y</v>
      </c>
      <c r="Y19" t="str">
        <f>INDEX(Sheet1!$A$9:$A$35,MATCH(T19,Sheet1!$E$9:$E$35,0))</f>
        <v>U</v>
      </c>
    </row>
    <row r="20" spans="1:25" x14ac:dyDescent="0.25">
      <c r="A20" t="s">
        <v>1</v>
      </c>
      <c r="B20" t="s">
        <v>1</v>
      </c>
      <c r="C20" t="s">
        <v>0</v>
      </c>
      <c r="D20" t="s">
        <v>0</v>
      </c>
      <c r="E20" t="s">
        <v>2</v>
      </c>
      <c r="F20" t="s">
        <v>1</v>
      </c>
      <c r="G20" t="s">
        <v>1</v>
      </c>
      <c r="H20" t="s">
        <v>2</v>
      </c>
      <c r="I20" t="s">
        <v>0</v>
      </c>
      <c r="J20" t="s">
        <v>2</v>
      </c>
      <c r="K20" t="s">
        <v>2</v>
      </c>
      <c r="L20" t="s">
        <v>0</v>
      </c>
      <c r="M20" t="s">
        <v>2</v>
      </c>
      <c r="N20" t="s">
        <v>2</v>
      </c>
      <c r="O20" t="s">
        <v>0</v>
      </c>
      <c r="P20" t="str">
        <f t="shared" si="0"/>
        <v>BBA</v>
      </c>
      <c r="Q20" t="str">
        <f t="shared" si="1"/>
        <v>ACB</v>
      </c>
      <c r="R20" t="str">
        <f t="shared" si="2"/>
        <v>BCA</v>
      </c>
      <c r="S20" t="str">
        <f t="shared" si="3"/>
        <v>CCA</v>
      </c>
      <c r="T20" t="str">
        <f t="shared" si="4"/>
        <v>CCA</v>
      </c>
      <c r="U20" t="str">
        <f>INDEX(Sheet1!$A$9:$A$35,MATCH(P20,Sheet1!$E$9:$E$35,0))</f>
        <v>M</v>
      </c>
      <c r="V20" t="str">
        <f>INDEX(Sheet1!$A$9:$A$35,MATCH(Q20,Sheet1!$E$9:$E$35,0))</f>
        <v>H</v>
      </c>
      <c r="W20" t="str">
        <f>INDEX(Sheet1!$A$9:$A$35,MATCH(R20,Sheet1!$E$9:$E$35,0))</f>
        <v>P</v>
      </c>
      <c r="X20" t="str">
        <f>INDEX(Sheet1!$A$9:$A$35,MATCH(S20,Sheet1!$E$9:$E$35,0))</f>
        <v>Y</v>
      </c>
      <c r="Y20" t="str">
        <f>INDEX(Sheet1!$A$9:$A$35,MATCH(T20,Sheet1!$E$9:$E$35,0))</f>
        <v>Y</v>
      </c>
    </row>
    <row r="21" spans="1:25" x14ac:dyDescent="0.25">
      <c r="A21" t="s">
        <v>1</v>
      </c>
      <c r="B21" t="s">
        <v>1</v>
      </c>
      <c r="C21" t="s">
        <v>0</v>
      </c>
      <c r="D21" t="s">
        <v>0</v>
      </c>
      <c r="E21" t="s">
        <v>2</v>
      </c>
      <c r="F21" t="s">
        <v>1</v>
      </c>
      <c r="G21" t="s">
        <v>1</v>
      </c>
      <c r="H21" t="s">
        <v>0</v>
      </c>
      <c r="I21" t="s">
        <v>2</v>
      </c>
      <c r="J21" t="s">
        <v>2</v>
      </c>
      <c r="K21" t="s">
        <v>2</v>
      </c>
      <c r="L21" t="s">
        <v>0</v>
      </c>
      <c r="M21" t="s">
        <v>2</v>
      </c>
      <c r="N21" t="s">
        <v>0</v>
      </c>
      <c r="O21" t="s">
        <v>2</v>
      </c>
      <c r="P21" t="str">
        <f t="shared" si="0"/>
        <v>BBA</v>
      </c>
      <c r="Q21" t="str">
        <f t="shared" si="1"/>
        <v>ACB</v>
      </c>
      <c r="R21" t="str">
        <f t="shared" si="2"/>
        <v>BAC</v>
      </c>
      <c r="S21" t="str">
        <f t="shared" si="3"/>
        <v>CCA</v>
      </c>
      <c r="T21" t="str">
        <f t="shared" si="4"/>
        <v>CAC</v>
      </c>
      <c r="U21" t="str">
        <f>INDEX(Sheet1!$A$9:$A$35,MATCH(P21,Sheet1!$E$9:$E$35,0))</f>
        <v>M</v>
      </c>
      <c r="V21" t="str">
        <f>INDEX(Sheet1!$A$9:$A$35,MATCH(Q21,Sheet1!$E$9:$E$35,0))</f>
        <v>H</v>
      </c>
      <c r="W21" t="str">
        <f>INDEX(Sheet1!$A$9:$A$35,MATCH(R21,Sheet1!$E$9:$E$35,0))</f>
        <v>L</v>
      </c>
      <c r="X21" t="str">
        <f>INDEX(Sheet1!$A$9:$A$35,MATCH(S21,Sheet1!$E$9:$E$35,0))</f>
        <v>Y</v>
      </c>
      <c r="Y21" t="str">
        <f>INDEX(Sheet1!$A$9:$A$35,MATCH(T21,Sheet1!$E$9:$E$35,0))</f>
        <v>U</v>
      </c>
    </row>
    <row r="22" spans="1:25" x14ac:dyDescent="0.25">
      <c r="A22" t="s">
        <v>1</v>
      </c>
      <c r="B22" t="s">
        <v>1</v>
      </c>
      <c r="C22" t="s">
        <v>0</v>
      </c>
      <c r="D22" t="s">
        <v>0</v>
      </c>
      <c r="E22" t="s">
        <v>2</v>
      </c>
      <c r="F22" t="s">
        <v>1</v>
      </c>
      <c r="G22" t="s">
        <v>1</v>
      </c>
      <c r="H22" t="s">
        <v>0</v>
      </c>
      <c r="I22" t="s">
        <v>2</v>
      </c>
      <c r="J22" t="s">
        <v>2</v>
      </c>
      <c r="K22" t="s">
        <v>2</v>
      </c>
      <c r="L22" t="s">
        <v>0</v>
      </c>
      <c r="M22" t="s">
        <v>2</v>
      </c>
      <c r="N22" t="s">
        <v>2</v>
      </c>
      <c r="O22" t="s">
        <v>0</v>
      </c>
      <c r="P22" t="str">
        <f t="shared" si="0"/>
        <v>BBA</v>
      </c>
      <c r="Q22" t="str">
        <f t="shared" si="1"/>
        <v>ACB</v>
      </c>
      <c r="R22" t="str">
        <f t="shared" si="2"/>
        <v>BAC</v>
      </c>
      <c r="S22" t="str">
        <f t="shared" si="3"/>
        <v>CCA</v>
      </c>
      <c r="T22" t="str">
        <f t="shared" si="4"/>
        <v>CCA</v>
      </c>
      <c r="U22" t="str">
        <f>INDEX(Sheet1!$A$9:$A$35,MATCH(P22,Sheet1!$E$9:$E$35,0))</f>
        <v>M</v>
      </c>
      <c r="V22" t="str">
        <f>INDEX(Sheet1!$A$9:$A$35,MATCH(Q22,Sheet1!$E$9:$E$35,0))</f>
        <v>H</v>
      </c>
      <c r="W22" t="str">
        <f>INDEX(Sheet1!$A$9:$A$35,MATCH(R22,Sheet1!$E$9:$E$35,0))</f>
        <v>L</v>
      </c>
      <c r="X22" t="str">
        <f>INDEX(Sheet1!$A$9:$A$35,MATCH(S22,Sheet1!$E$9:$E$35,0))</f>
        <v>Y</v>
      </c>
      <c r="Y22" t="str">
        <f>INDEX(Sheet1!$A$9:$A$35,MATCH(T22,Sheet1!$E$9:$E$35,0))</f>
        <v>Y</v>
      </c>
    </row>
    <row r="25" spans="1:25" x14ac:dyDescent="0.25">
      <c r="A25" t="s">
        <v>32</v>
      </c>
    </row>
    <row r="26" spans="1:25" x14ac:dyDescent="0.25">
      <c r="A26" s="7" t="s">
        <v>1</v>
      </c>
      <c r="B26" s="8" t="s">
        <v>1</v>
      </c>
      <c r="C26" s="9" t="s">
        <v>0</v>
      </c>
      <c r="D26" s="9" t="s">
        <v>2</v>
      </c>
      <c r="E26" s="10" t="s">
        <v>2</v>
      </c>
      <c r="F26" s="7" t="s">
        <v>0</v>
      </c>
      <c r="G26" s="8" t="s">
        <v>1</v>
      </c>
      <c r="H26" s="9" t="s">
        <v>2</v>
      </c>
      <c r="I26" s="9" t="s">
        <v>2</v>
      </c>
      <c r="J26" s="10" t="s">
        <v>1</v>
      </c>
      <c r="K26" s="7" t="s">
        <v>1</v>
      </c>
      <c r="L26" s="8" t="s">
        <v>1</v>
      </c>
      <c r="M26" s="9" t="s">
        <v>0</v>
      </c>
      <c r="N26" s="9" t="s">
        <v>0</v>
      </c>
      <c r="O26" s="10" t="s">
        <v>2</v>
      </c>
    </row>
    <row r="29" spans="1:25" x14ac:dyDescent="0.25">
      <c r="A29" t="s">
        <v>1</v>
      </c>
      <c r="B29" t="s">
        <v>1</v>
      </c>
    </row>
    <row r="30" spans="1:25" x14ac:dyDescent="0.25">
      <c r="C30" t="s">
        <v>2</v>
      </c>
      <c r="D30" t="s">
        <v>0</v>
      </c>
      <c r="E30" t="s">
        <v>2</v>
      </c>
    </row>
    <row r="31" spans="1:25" x14ac:dyDescent="0.25">
      <c r="C31" t="s">
        <v>2</v>
      </c>
      <c r="D31" t="s">
        <v>2</v>
      </c>
      <c r="E31" t="s">
        <v>0</v>
      </c>
    </row>
    <row r="32" spans="1:25" x14ac:dyDescent="0.25">
      <c r="F32" t="s">
        <v>1</v>
      </c>
      <c r="G32" t="s">
        <v>0</v>
      </c>
    </row>
    <row r="33" spans="1:25" x14ac:dyDescent="0.25">
      <c r="H33" t="s">
        <v>2</v>
      </c>
      <c r="I33" t="s">
        <v>1</v>
      </c>
      <c r="J33" t="s">
        <v>2</v>
      </c>
    </row>
    <row r="34" spans="1:25" x14ac:dyDescent="0.25">
      <c r="H34" t="s">
        <v>1</v>
      </c>
      <c r="I34" t="s">
        <v>2</v>
      </c>
      <c r="J34" t="s">
        <v>2</v>
      </c>
    </row>
    <row r="35" spans="1:25" x14ac:dyDescent="0.25">
      <c r="K35" t="s">
        <v>1</v>
      </c>
      <c r="L35" t="s">
        <v>1</v>
      </c>
    </row>
    <row r="36" spans="1:25" x14ac:dyDescent="0.25">
      <c r="M36" t="s">
        <v>0</v>
      </c>
      <c r="N36" t="s">
        <v>2</v>
      </c>
      <c r="O36" t="s">
        <v>0</v>
      </c>
    </row>
    <row r="37" spans="1:25" x14ac:dyDescent="0.25">
      <c r="M37" t="s">
        <v>2</v>
      </c>
      <c r="N37" t="s">
        <v>0</v>
      </c>
      <c r="O37" t="s">
        <v>0</v>
      </c>
    </row>
    <row r="39" spans="1:25" x14ac:dyDescent="0.25">
      <c r="A39" t="s">
        <v>1</v>
      </c>
      <c r="B39" t="s">
        <v>1</v>
      </c>
      <c r="C39" t="s">
        <v>2</v>
      </c>
      <c r="D39" t="s">
        <v>0</v>
      </c>
      <c r="E39" t="s">
        <v>2</v>
      </c>
      <c r="F39" t="s">
        <v>1</v>
      </c>
      <c r="G39" t="s">
        <v>0</v>
      </c>
      <c r="H39" t="s">
        <v>2</v>
      </c>
      <c r="I39" t="s">
        <v>1</v>
      </c>
      <c r="J39" t="s">
        <v>2</v>
      </c>
      <c r="K39" t="s">
        <v>1</v>
      </c>
      <c r="L39" t="s">
        <v>1</v>
      </c>
      <c r="M39" t="s">
        <v>0</v>
      </c>
      <c r="N39" t="s">
        <v>2</v>
      </c>
      <c r="O39" t="s">
        <v>0</v>
      </c>
      <c r="P39" t="str">
        <f>A39&amp;B39&amp;C39</f>
        <v>BBC</v>
      </c>
      <c r="Q39" t="str">
        <f>D39&amp;E39&amp;F39</f>
        <v>ACB</v>
      </c>
      <c r="R39" t="str">
        <f>G39&amp;H39&amp;I39</f>
        <v>ACB</v>
      </c>
      <c r="S39" t="str">
        <f>J39&amp;K39&amp;L39</f>
        <v>CBB</v>
      </c>
      <c r="T39" t="str">
        <f>M39&amp;N39&amp;O39</f>
        <v>ACA</v>
      </c>
      <c r="U39" t="str">
        <f>INDEX(Sheet1!$A$9:$A$35,MATCH(P39,Sheet1!$E$9:$E$35,0))</f>
        <v>O</v>
      </c>
      <c r="V39" t="str">
        <f>INDEX(Sheet1!$A$9:$A$35,MATCH(Q39,Sheet1!$E$9:$E$35,0))</f>
        <v>H</v>
      </c>
      <c r="W39" t="str">
        <f>INDEX(Sheet1!$A$9:$A$35,MATCH(R39,Sheet1!$E$9:$E$35,0))</f>
        <v>H</v>
      </c>
      <c r="X39" t="str">
        <f>INDEX(Sheet1!$A$9:$A$35,MATCH(S39,Sheet1!$E$9:$E$35,0))</f>
        <v>W</v>
      </c>
      <c r="Y39" t="str">
        <f>INDEX(Sheet1!$A$9:$A$35,MATCH(T39,Sheet1!$E$9:$E$35,0))</f>
        <v>G</v>
      </c>
    </row>
    <row r="40" spans="1:25" x14ac:dyDescent="0.25">
      <c r="A40" t="s">
        <v>1</v>
      </c>
      <c r="B40" t="s">
        <v>1</v>
      </c>
      <c r="C40" t="s">
        <v>2</v>
      </c>
      <c r="D40" t="s">
        <v>0</v>
      </c>
      <c r="E40" t="s">
        <v>2</v>
      </c>
      <c r="F40" t="s">
        <v>1</v>
      </c>
      <c r="G40" t="s">
        <v>0</v>
      </c>
      <c r="H40" t="s">
        <v>2</v>
      </c>
      <c r="I40" t="s">
        <v>1</v>
      </c>
      <c r="J40" t="s">
        <v>2</v>
      </c>
      <c r="K40" t="s">
        <v>1</v>
      </c>
      <c r="L40" t="s">
        <v>1</v>
      </c>
      <c r="M40" t="s">
        <v>2</v>
      </c>
      <c r="N40" t="s">
        <v>0</v>
      </c>
      <c r="O40" t="s">
        <v>0</v>
      </c>
      <c r="P40" t="str">
        <f t="shared" ref="P40:P46" si="5">A40&amp;B40&amp;C40</f>
        <v>BBC</v>
      </c>
      <c r="Q40" t="str">
        <f t="shared" ref="Q40:Q46" si="6">D40&amp;E40&amp;F40</f>
        <v>ACB</v>
      </c>
      <c r="R40" t="str">
        <f t="shared" ref="R40:R46" si="7">G40&amp;H40&amp;I40</f>
        <v>ACB</v>
      </c>
      <c r="S40" t="str">
        <f t="shared" ref="S40:S46" si="8">J40&amp;K40&amp;L40</f>
        <v>CBB</v>
      </c>
      <c r="T40" t="str">
        <f t="shared" ref="T40:T46" si="9">M40&amp;N40&amp;O40</f>
        <v>CAA</v>
      </c>
      <c r="U40" t="str">
        <f>INDEX(Sheet1!$A$9:$A$35,MATCH(P40,Sheet1!$E$9:$E$35,0))</f>
        <v>O</v>
      </c>
      <c r="V40" t="str">
        <f>INDEX(Sheet1!$A$9:$A$35,MATCH(Q40,Sheet1!$E$9:$E$35,0))</f>
        <v>H</v>
      </c>
      <c r="W40" t="str">
        <f>INDEX(Sheet1!$A$9:$A$35,MATCH(R40,Sheet1!$E$9:$E$35,0))</f>
        <v>H</v>
      </c>
      <c r="X40" t="str">
        <f>INDEX(Sheet1!$A$9:$A$35,MATCH(S40,Sheet1!$E$9:$E$35,0))</f>
        <v>W</v>
      </c>
      <c r="Y40" t="str">
        <f>INDEX(Sheet1!$A$9:$A$35,MATCH(T40,Sheet1!$E$9:$E$35,0))</f>
        <v>S</v>
      </c>
    </row>
    <row r="41" spans="1:25" x14ac:dyDescent="0.25">
      <c r="A41" t="s">
        <v>1</v>
      </c>
      <c r="B41" t="s">
        <v>1</v>
      </c>
      <c r="C41" t="s">
        <v>2</v>
      </c>
      <c r="D41" t="s">
        <v>0</v>
      </c>
      <c r="E41" t="s">
        <v>2</v>
      </c>
      <c r="F41" t="s">
        <v>1</v>
      </c>
      <c r="G41" t="s">
        <v>0</v>
      </c>
      <c r="H41" t="s">
        <v>1</v>
      </c>
      <c r="I41" t="s">
        <v>2</v>
      </c>
      <c r="J41" t="s">
        <v>2</v>
      </c>
      <c r="K41" t="s">
        <v>1</v>
      </c>
      <c r="L41" t="s">
        <v>1</v>
      </c>
      <c r="M41" t="s">
        <v>0</v>
      </c>
      <c r="N41" t="s">
        <v>2</v>
      </c>
      <c r="O41" t="s">
        <v>0</v>
      </c>
      <c r="P41" t="str">
        <f t="shared" si="5"/>
        <v>BBC</v>
      </c>
      <c r="Q41" t="str">
        <f t="shared" si="6"/>
        <v>ACB</v>
      </c>
      <c r="R41" t="str">
        <f t="shared" si="7"/>
        <v>ABC</v>
      </c>
      <c r="S41" t="str">
        <f t="shared" si="8"/>
        <v>CBB</v>
      </c>
      <c r="T41" t="str">
        <f t="shared" si="9"/>
        <v>ACA</v>
      </c>
      <c r="U41" t="str">
        <f>INDEX(Sheet1!$A$9:$A$35,MATCH(P41,Sheet1!$E$9:$E$35,0))</f>
        <v>O</v>
      </c>
      <c r="V41" t="str">
        <f>INDEX(Sheet1!$A$9:$A$35,MATCH(Q41,Sheet1!$E$9:$E$35,0))</f>
        <v>H</v>
      </c>
      <c r="W41" t="str">
        <f>INDEX(Sheet1!$A$9:$A$35,MATCH(R41,Sheet1!$E$9:$E$35,0))</f>
        <v>F</v>
      </c>
      <c r="X41" t="str">
        <f>INDEX(Sheet1!$A$9:$A$35,MATCH(S41,Sheet1!$E$9:$E$35,0))</f>
        <v>W</v>
      </c>
      <c r="Y41" t="str">
        <f>INDEX(Sheet1!$A$9:$A$35,MATCH(T41,Sheet1!$E$9:$E$35,0))</f>
        <v>G</v>
      </c>
    </row>
    <row r="42" spans="1:25" x14ac:dyDescent="0.25">
      <c r="A42" t="s">
        <v>1</v>
      </c>
      <c r="B42" t="s">
        <v>1</v>
      </c>
      <c r="C42" t="s">
        <v>2</v>
      </c>
      <c r="D42" t="s">
        <v>0</v>
      </c>
      <c r="E42" t="s">
        <v>2</v>
      </c>
      <c r="F42" t="s">
        <v>1</v>
      </c>
      <c r="G42" t="s">
        <v>0</v>
      </c>
      <c r="H42" t="s">
        <v>1</v>
      </c>
      <c r="I42" t="s">
        <v>2</v>
      </c>
      <c r="J42" t="s">
        <v>2</v>
      </c>
      <c r="K42" t="s">
        <v>1</v>
      </c>
      <c r="L42" t="s">
        <v>1</v>
      </c>
      <c r="M42" t="s">
        <v>2</v>
      </c>
      <c r="N42" t="s">
        <v>0</v>
      </c>
      <c r="O42" t="s">
        <v>0</v>
      </c>
      <c r="P42" t="str">
        <f t="shared" si="5"/>
        <v>BBC</v>
      </c>
      <c r="Q42" t="str">
        <f t="shared" si="6"/>
        <v>ACB</v>
      </c>
      <c r="R42" t="str">
        <f t="shared" si="7"/>
        <v>ABC</v>
      </c>
      <c r="S42" t="str">
        <f t="shared" si="8"/>
        <v>CBB</v>
      </c>
      <c r="T42" t="str">
        <f t="shared" si="9"/>
        <v>CAA</v>
      </c>
      <c r="U42" t="str">
        <f>INDEX(Sheet1!$A$9:$A$35,MATCH(P42,Sheet1!$E$9:$E$35,0))</f>
        <v>O</v>
      </c>
      <c r="V42" t="str">
        <f>INDEX(Sheet1!$A$9:$A$35,MATCH(Q42,Sheet1!$E$9:$E$35,0))</f>
        <v>H</v>
      </c>
      <c r="W42" t="str">
        <f>INDEX(Sheet1!$A$9:$A$35,MATCH(R42,Sheet1!$E$9:$E$35,0))</f>
        <v>F</v>
      </c>
      <c r="X42" t="str">
        <f>INDEX(Sheet1!$A$9:$A$35,MATCH(S42,Sheet1!$E$9:$E$35,0))</f>
        <v>W</v>
      </c>
      <c r="Y42" t="str">
        <f>INDEX(Sheet1!$A$9:$A$35,MATCH(T42,Sheet1!$E$9:$E$35,0))</f>
        <v>S</v>
      </c>
    </row>
    <row r="43" spans="1:25" x14ac:dyDescent="0.25">
      <c r="A43" t="s">
        <v>1</v>
      </c>
      <c r="B43" t="s">
        <v>1</v>
      </c>
      <c r="C43" t="s">
        <v>2</v>
      </c>
      <c r="D43" t="s">
        <v>2</v>
      </c>
      <c r="E43" t="s">
        <v>0</v>
      </c>
      <c r="F43" t="s">
        <v>1</v>
      </c>
      <c r="G43" t="s">
        <v>0</v>
      </c>
      <c r="H43" t="s">
        <v>2</v>
      </c>
      <c r="I43" t="s">
        <v>1</v>
      </c>
      <c r="J43" t="s">
        <v>2</v>
      </c>
      <c r="K43" t="s">
        <v>1</v>
      </c>
      <c r="L43" t="s">
        <v>1</v>
      </c>
      <c r="M43" t="s">
        <v>0</v>
      </c>
      <c r="N43" t="s">
        <v>2</v>
      </c>
      <c r="O43" t="s">
        <v>0</v>
      </c>
      <c r="P43" t="str">
        <f t="shared" si="5"/>
        <v>BBC</v>
      </c>
      <c r="Q43" t="str">
        <f t="shared" si="6"/>
        <v>CAB</v>
      </c>
      <c r="R43" t="str">
        <f t="shared" si="7"/>
        <v>ACB</v>
      </c>
      <c r="S43" t="str">
        <f t="shared" si="8"/>
        <v>CBB</v>
      </c>
      <c r="T43" t="str">
        <f t="shared" si="9"/>
        <v>ACA</v>
      </c>
      <c r="U43" t="str">
        <f>INDEX(Sheet1!$A$9:$A$35,MATCH(P43,Sheet1!$E$9:$E$35,0))</f>
        <v>O</v>
      </c>
      <c r="V43" t="str">
        <f>INDEX(Sheet1!$A$9:$A$35,MATCH(Q43,Sheet1!$E$9:$E$35,0))</f>
        <v>T</v>
      </c>
      <c r="W43" t="str">
        <f>INDEX(Sheet1!$A$9:$A$35,MATCH(R43,Sheet1!$E$9:$E$35,0))</f>
        <v>H</v>
      </c>
      <c r="X43" t="str">
        <f>INDEX(Sheet1!$A$9:$A$35,MATCH(S43,Sheet1!$E$9:$E$35,0))</f>
        <v>W</v>
      </c>
      <c r="Y43" t="str">
        <f>INDEX(Sheet1!$A$9:$A$35,MATCH(T43,Sheet1!$E$9:$E$35,0))</f>
        <v>G</v>
      </c>
    </row>
    <row r="44" spans="1:25" x14ac:dyDescent="0.25">
      <c r="A44" t="s">
        <v>1</v>
      </c>
      <c r="B44" t="s">
        <v>1</v>
      </c>
      <c r="C44" t="s">
        <v>2</v>
      </c>
      <c r="D44" t="s">
        <v>2</v>
      </c>
      <c r="E44" t="s">
        <v>0</v>
      </c>
      <c r="F44" t="s">
        <v>1</v>
      </c>
      <c r="G44" t="s">
        <v>0</v>
      </c>
      <c r="H44" t="s">
        <v>2</v>
      </c>
      <c r="I44" t="s">
        <v>1</v>
      </c>
      <c r="J44" t="s">
        <v>2</v>
      </c>
      <c r="K44" t="s">
        <v>1</v>
      </c>
      <c r="L44" t="s">
        <v>1</v>
      </c>
      <c r="M44" t="s">
        <v>2</v>
      </c>
      <c r="N44" t="s">
        <v>0</v>
      </c>
      <c r="O44" t="s">
        <v>0</v>
      </c>
      <c r="P44" t="str">
        <f t="shared" si="5"/>
        <v>BBC</v>
      </c>
      <c r="Q44" t="str">
        <f t="shared" si="6"/>
        <v>CAB</v>
      </c>
      <c r="R44" t="str">
        <f t="shared" si="7"/>
        <v>ACB</v>
      </c>
      <c r="S44" t="str">
        <f t="shared" si="8"/>
        <v>CBB</v>
      </c>
      <c r="T44" t="str">
        <f t="shared" si="9"/>
        <v>CAA</v>
      </c>
      <c r="U44" t="str">
        <f>INDEX(Sheet1!$A$9:$A$35,MATCH(P44,Sheet1!$E$9:$E$35,0))</f>
        <v>O</v>
      </c>
      <c r="V44" t="str">
        <f>INDEX(Sheet1!$A$9:$A$35,MATCH(Q44,Sheet1!$E$9:$E$35,0))</f>
        <v>T</v>
      </c>
      <c r="W44" t="str">
        <f>INDEX(Sheet1!$A$9:$A$35,MATCH(R44,Sheet1!$E$9:$E$35,0))</f>
        <v>H</v>
      </c>
      <c r="X44" t="str">
        <f>INDEX(Sheet1!$A$9:$A$35,MATCH(S44,Sheet1!$E$9:$E$35,0))</f>
        <v>W</v>
      </c>
      <c r="Y44" t="str">
        <f>INDEX(Sheet1!$A$9:$A$35,MATCH(T44,Sheet1!$E$9:$E$35,0))</f>
        <v>S</v>
      </c>
    </row>
    <row r="45" spans="1:25" x14ac:dyDescent="0.25">
      <c r="A45" t="s">
        <v>1</v>
      </c>
      <c r="B45" t="s">
        <v>1</v>
      </c>
      <c r="C45" t="s">
        <v>2</v>
      </c>
      <c r="D45" t="s">
        <v>2</v>
      </c>
      <c r="E45" t="s">
        <v>0</v>
      </c>
      <c r="F45" t="s">
        <v>1</v>
      </c>
      <c r="G45" t="s">
        <v>0</v>
      </c>
      <c r="H45" t="s">
        <v>1</v>
      </c>
      <c r="I45" t="s">
        <v>2</v>
      </c>
      <c r="J45" t="s">
        <v>2</v>
      </c>
      <c r="K45" t="s">
        <v>1</v>
      </c>
      <c r="L45" t="s">
        <v>1</v>
      </c>
      <c r="M45" t="s">
        <v>0</v>
      </c>
      <c r="N45" t="s">
        <v>2</v>
      </c>
      <c r="O45" t="s">
        <v>0</v>
      </c>
      <c r="P45" t="str">
        <f t="shared" si="5"/>
        <v>BBC</v>
      </c>
      <c r="Q45" t="str">
        <f t="shared" si="6"/>
        <v>CAB</v>
      </c>
      <c r="R45" t="str">
        <f t="shared" si="7"/>
        <v>ABC</v>
      </c>
      <c r="S45" t="str">
        <f t="shared" si="8"/>
        <v>CBB</v>
      </c>
      <c r="T45" t="str">
        <f t="shared" si="9"/>
        <v>ACA</v>
      </c>
      <c r="U45" t="str">
        <f>INDEX(Sheet1!$A$9:$A$35,MATCH(P45,Sheet1!$E$9:$E$35,0))</f>
        <v>O</v>
      </c>
      <c r="V45" t="str">
        <f>INDEX(Sheet1!$A$9:$A$35,MATCH(Q45,Sheet1!$E$9:$E$35,0))</f>
        <v>T</v>
      </c>
      <c r="W45" t="str">
        <f>INDEX(Sheet1!$A$9:$A$35,MATCH(R45,Sheet1!$E$9:$E$35,0))</f>
        <v>F</v>
      </c>
      <c r="X45" t="str">
        <f>INDEX(Sheet1!$A$9:$A$35,MATCH(S45,Sheet1!$E$9:$E$35,0))</f>
        <v>W</v>
      </c>
      <c r="Y45" t="str">
        <f>INDEX(Sheet1!$A$9:$A$35,MATCH(T45,Sheet1!$E$9:$E$35,0))</f>
        <v>G</v>
      </c>
    </row>
    <row r="46" spans="1:25" x14ac:dyDescent="0.25">
      <c r="A46" t="s">
        <v>1</v>
      </c>
      <c r="B46" t="s">
        <v>1</v>
      </c>
      <c r="C46" t="s">
        <v>2</v>
      </c>
      <c r="D46" t="s">
        <v>2</v>
      </c>
      <c r="E46" t="s">
        <v>0</v>
      </c>
      <c r="F46" t="s">
        <v>1</v>
      </c>
      <c r="G46" t="s">
        <v>0</v>
      </c>
      <c r="H46" t="s">
        <v>1</v>
      </c>
      <c r="I46" t="s">
        <v>2</v>
      </c>
      <c r="J46" t="s">
        <v>2</v>
      </c>
      <c r="K46" t="s">
        <v>1</v>
      </c>
      <c r="L46" t="s">
        <v>1</v>
      </c>
      <c r="M46" t="s">
        <v>2</v>
      </c>
      <c r="N46" t="s">
        <v>0</v>
      </c>
      <c r="O46" t="s">
        <v>0</v>
      </c>
      <c r="P46" t="str">
        <f t="shared" si="5"/>
        <v>BBC</v>
      </c>
      <c r="Q46" t="str">
        <f t="shared" si="6"/>
        <v>CAB</v>
      </c>
      <c r="R46" t="str">
        <f t="shared" si="7"/>
        <v>ABC</v>
      </c>
      <c r="S46" t="str">
        <f t="shared" si="8"/>
        <v>CBB</v>
      </c>
      <c r="T46" t="str">
        <f t="shared" si="9"/>
        <v>CAA</v>
      </c>
      <c r="U46" t="str">
        <f>INDEX(Sheet1!$A$9:$A$35,MATCH(P46,Sheet1!$E$9:$E$35,0))</f>
        <v>O</v>
      </c>
      <c r="V46" t="str">
        <f>INDEX(Sheet1!$A$9:$A$35,MATCH(Q46,Sheet1!$E$9:$E$35,0))</f>
        <v>T</v>
      </c>
      <c r="W46" t="str">
        <f>INDEX(Sheet1!$A$9:$A$35,MATCH(R46,Sheet1!$E$9:$E$35,0))</f>
        <v>F</v>
      </c>
      <c r="X46" t="str">
        <f>INDEX(Sheet1!$A$9:$A$35,MATCH(S46,Sheet1!$E$9:$E$35,0))</f>
        <v>W</v>
      </c>
      <c r="Y46" t="str">
        <f>INDEX(Sheet1!$A$9:$A$35,MATCH(T46,Sheet1!$E$9:$E$35,0))</f>
        <v>S</v>
      </c>
    </row>
    <row r="52" spans="1:33" x14ac:dyDescent="0.25">
      <c r="A52" t="s">
        <v>30</v>
      </c>
    </row>
    <row r="53" spans="1:33" x14ac:dyDescent="0.25">
      <c r="A53" s="11" t="s">
        <v>1</v>
      </c>
      <c r="B53" s="11" t="s">
        <v>1</v>
      </c>
      <c r="C53" t="s">
        <v>2</v>
      </c>
      <c r="D53" s="11" t="s">
        <v>0</v>
      </c>
      <c r="E53" s="11" t="s">
        <v>0</v>
      </c>
      <c r="F53" t="s">
        <v>1</v>
      </c>
      <c r="G53" s="11" t="s">
        <v>1</v>
      </c>
      <c r="H53" s="11" t="s">
        <v>2</v>
      </c>
      <c r="I53" s="11" t="s">
        <v>2</v>
      </c>
      <c r="J53" t="s">
        <v>0</v>
      </c>
      <c r="K53" s="12" t="s">
        <v>0</v>
      </c>
      <c r="L53" s="12" t="s">
        <v>2</v>
      </c>
      <c r="M53" t="s">
        <v>0</v>
      </c>
      <c r="N53" s="12" t="s">
        <v>2</v>
      </c>
      <c r="O53" s="12" t="s">
        <v>2</v>
      </c>
      <c r="P53" t="s">
        <v>1</v>
      </c>
      <c r="Q53" s="12" t="s">
        <v>1</v>
      </c>
      <c r="R53" s="12" t="s">
        <v>0</v>
      </c>
      <c r="S53" s="12" t="s">
        <v>2</v>
      </c>
      <c r="T53" t="s">
        <v>2</v>
      </c>
      <c r="U53" t="s">
        <v>0</v>
      </c>
      <c r="V53" t="s">
        <v>1</v>
      </c>
      <c r="W53" t="s">
        <v>2</v>
      </c>
      <c r="X53" t="s">
        <v>2</v>
      </c>
      <c r="Y53" t="s">
        <v>1</v>
      </c>
      <c r="Z53" t="s">
        <v>1</v>
      </c>
      <c r="AA53" t="s">
        <v>1</v>
      </c>
      <c r="AB53" t="s">
        <v>0</v>
      </c>
      <c r="AC53" t="s">
        <v>0</v>
      </c>
      <c r="AD53" t="s">
        <v>2</v>
      </c>
      <c r="AE53" t="s">
        <v>1</v>
      </c>
      <c r="AF53" t="s">
        <v>2</v>
      </c>
      <c r="AG53" t="s">
        <v>1</v>
      </c>
    </row>
    <row r="54" spans="1:33" x14ac:dyDescent="0.25">
      <c r="B54" s="11"/>
      <c r="C54" s="11"/>
      <c r="D54" s="11"/>
      <c r="F54" s="11"/>
      <c r="G54" s="11"/>
      <c r="I54" s="11"/>
      <c r="J54" s="11"/>
      <c r="L54" s="12"/>
      <c r="M54" s="12"/>
      <c r="N54" s="12"/>
      <c r="P54" s="12"/>
      <c r="Q54" s="12"/>
      <c r="S54" s="12"/>
      <c r="T54" s="12"/>
    </row>
    <row r="55" spans="1:33" x14ac:dyDescent="0.25">
      <c r="A55">
        <v>1</v>
      </c>
      <c r="B55">
        <v>2</v>
      </c>
      <c r="C55">
        <v>3</v>
      </c>
      <c r="D55">
        <v>4</v>
      </c>
      <c r="E55">
        <v>5</v>
      </c>
      <c r="F55">
        <v>6</v>
      </c>
      <c r="G55">
        <v>7</v>
      </c>
      <c r="H55">
        <v>8</v>
      </c>
      <c r="I55">
        <v>9</v>
      </c>
      <c r="J55">
        <v>10</v>
      </c>
      <c r="K55">
        <v>11</v>
      </c>
      <c r="L55">
        <v>12</v>
      </c>
      <c r="M55">
        <v>13</v>
      </c>
      <c r="N55">
        <v>14</v>
      </c>
      <c r="O55">
        <v>15</v>
      </c>
      <c r="P55">
        <v>16</v>
      </c>
      <c r="Q55">
        <v>17</v>
      </c>
      <c r="R55">
        <v>18</v>
      </c>
      <c r="S55">
        <v>19</v>
      </c>
      <c r="T55">
        <v>20</v>
      </c>
    </row>
    <row r="57" spans="1:33" x14ac:dyDescent="0.25">
      <c r="A57" t="s">
        <v>1</v>
      </c>
      <c r="B57" t="s">
        <v>1</v>
      </c>
      <c r="D57" t="s">
        <v>0</v>
      </c>
      <c r="E57" t="s">
        <v>0</v>
      </c>
    </row>
    <row r="58" spans="1:33" x14ac:dyDescent="0.25">
      <c r="B58" t="s">
        <v>0</v>
      </c>
      <c r="C58" t="s">
        <v>2</v>
      </c>
      <c r="D58" t="s">
        <v>1</v>
      </c>
    </row>
    <row r="60" spans="1:33" x14ac:dyDescent="0.25">
      <c r="A60" t="s">
        <v>43</v>
      </c>
      <c r="B60" s="23" t="s">
        <v>44</v>
      </c>
      <c r="C60" s="23" t="s">
        <v>45</v>
      </c>
      <c r="D60" s="23" t="s">
        <v>43</v>
      </c>
      <c r="E60" t="s">
        <v>44</v>
      </c>
      <c r="G60" t="s">
        <v>45</v>
      </c>
      <c r="H60" s="23" t="s">
        <v>43</v>
      </c>
      <c r="I60" s="23" t="s">
        <v>44</v>
      </c>
      <c r="J60" s="23" t="s">
        <v>45</v>
      </c>
      <c r="K60" t="s">
        <v>43</v>
      </c>
      <c r="M60" t="s">
        <v>44</v>
      </c>
      <c r="N60" s="23" t="s">
        <v>45</v>
      </c>
      <c r="O60" s="23" t="s">
        <v>43</v>
      </c>
      <c r="P60" s="23" t="s">
        <v>44</v>
      </c>
      <c r="Q60" t="s">
        <v>45</v>
      </c>
    </row>
    <row r="61" spans="1:33" x14ac:dyDescent="0.25">
      <c r="A61">
        <v>1</v>
      </c>
      <c r="B61">
        <v>2</v>
      </c>
      <c r="C61">
        <v>3</v>
      </c>
      <c r="D61">
        <v>4</v>
      </c>
      <c r="E61">
        <v>5</v>
      </c>
      <c r="G61">
        <v>6</v>
      </c>
      <c r="H61">
        <v>7</v>
      </c>
      <c r="I61">
        <v>8</v>
      </c>
      <c r="J61">
        <v>9</v>
      </c>
      <c r="K61">
        <v>10</v>
      </c>
      <c r="M61">
        <v>11</v>
      </c>
      <c r="N61">
        <v>12</v>
      </c>
      <c r="O61">
        <v>13</v>
      </c>
      <c r="P61">
        <v>14</v>
      </c>
      <c r="Q61">
        <v>15</v>
      </c>
      <c r="S61" t="s">
        <v>41</v>
      </c>
    </row>
    <row r="62" spans="1:33" x14ac:dyDescent="0.25">
      <c r="A62">
        <v>1</v>
      </c>
      <c r="B62">
        <v>2</v>
      </c>
      <c r="C62">
        <v>3</v>
      </c>
      <c r="D62">
        <v>4</v>
      </c>
      <c r="E62">
        <v>5</v>
      </c>
      <c r="G62">
        <v>6</v>
      </c>
      <c r="H62">
        <v>7</v>
      </c>
      <c r="I62">
        <v>8</v>
      </c>
      <c r="J62">
        <v>9</v>
      </c>
      <c r="K62">
        <v>10</v>
      </c>
      <c r="M62">
        <v>11</v>
      </c>
      <c r="N62">
        <v>12</v>
      </c>
      <c r="O62">
        <v>13</v>
      </c>
      <c r="P62">
        <v>14</v>
      </c>
      <c r="Q62">
        <v>15</v>
      </c>
      <c r="S62" t="s">
        <v>42</v>
      </c>
      <c r="W62">
        <v>0</v>
      </c>
    </row>
    <row r="63" spans="1:33" x14ac:dyDescent="0.25">
      <c r="A63">
        <v>2</v>
      </c>
      <c r="B63">
        <v>1</v>
      </c>
      <c r="C63">
        <v>3</v>
      </c>
      <c r="D63">
        <v>4</v>
      </c>
      <c r="E63">
        <v>5</v>
      </c>
      <c r="G63">
        <v>6</v>
      </c>
      <c r="H63">
        <v>7</v>
      </c>
      <c r="I63">
        <v>8</v>
      </c>
      <c r="J63">
        <v>9</v>
      </c>
      <c r="K63">
        <v>10</v>
      </c>
      <c r="M63">
        <v>11</v>
      </c>
      <c r="N63">
        <v>12</v>
      </c>
      <c r="O63">
        <v>13</v>
      </c>
      <c r="P63">
        <v>14</v>
      </c>
      <c r="Q63">
        <v>15</v>
      </c>
      <c r="S63" t="s">
        <v>35</v>
      </c>
      <c r="W63">
        <v>0</v>
      </c>
    </row>
    <row r="64" spans="1:33" x14ac:dyDescent="0.25">
      <c r="A64">
        <v>2</v>
      </c>
      <c r="B64">
        <v>4</v>
      </c>
      <c r="C64">
        <v>3</v>
      </c>
      <c r="D64">
        <v>1</v>
      </c>
      <c r="E64">
        <v>5</v>
      </c>
      <c r="G64">
        <v>6</v>
      </c>
      <c r="H64">
        <v>7</v>
      </c>
      <c r="I64">
        <v>8</v>
      </c>
      <c r="J64">
        <v>9</v>
      </c>
      <c r="K64">
        <v>10</v>
      </c>
      <c r="M64">
        <v>11</v>
      </c>
      <c r="N64">
        <v>12</v>
      </c>
      <c r="O64">
        <v>13</v>
      </c>
      <c r="P64">
        <v>14</v>
      </c>
      <c r="Q64">
        <v>15</v>
      </c>
      <c r="S64" t="s">
        <v>34</v>
      </c>
      <c r="W64">
        <v>1</v>
      </c>
    </row>
    <row r="65" spans="1:25" x14ac:dyDescent="0.25">
      <c r="A65">
        <v>2</v>
      </c>
      <c r="B65">
        <v>4</v>
      </c>
      <c r="C65">
        <v>3</v>
      </c>
      <c r="D65">
        <v>5</v>
      </c>
      <c r="E65">
        <v>1</v>
      </c>
      <c r="G65">
        <v>6</v>
      </c>
      <c r="H65">
        <v>7</v>
      </c>
      <c r="I65">
        <v>8</v>
      </c>
      <c r="J65">
        <v>9</v>
      </c>
      <c r="K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S65" t="s">
        <v>36</v>
      </c>
      <c r="W65">
        <v>3</v>
      </c>
    </row>
    <row r="66" spans="1:25" x14ac:dyDescent="0.25">
      <c r="A66">
        <v>2</v>
      </c>
      <c r="B66">
        <v>4</v>
      </c>
      <c r="C66">
        <v>3</v>
      </c>
      <c r="D66">
        <v>5</v>
      </c>
      <c r="E66">
        <v>1</v>
      </c>
      <c r="G66">
        <v>7</v>
      </c>
      <c r="H66">
        <v>6</v>
      </c>
      <c r="I66">
        <v>8</v>
      </c>
      <c r="J66">
        <v>9</v>
      </c>
      <c r="K66">
        <v>10</v>
      </c>
      <c r="M66">
        <v>11</v>
      </c>
      <c r="N66">
        <v>12</v>
      </c>
      <c r="O66">
        <v>13</v>
      </c>
      <c r="P66">
        <v>14</v>
      </c>
      <c r="Q66">
        <v>15</v>
      </c>
      <c r="S66" t="s">
        <v>37</v>
      </c>
      <c r="W66">
        <v>5</v>
      </c>
    </row>
    <row r="67" spans="1:25" x14ac:dyDescent="0.25">
      <c r="A67">
        <v>2</v>
      </c>
      <c r="B67">
        <v>4</v>
      </c>
      <c r="C67">
        <v>3</v>
      </c>
      <c r="D67">
        <v>5</v>
      </c>
      <c r="E67">
        <v>1</v>
      </c>
      <c r="G67">
        <v>7</v>
      </c>
      <c r="H67">
        <v>9</v>
      </c>
      <c r="I67">
        <v>8</v>
      </c>
      <c r="J67">
        <v>6</v>
      </c>
      <c r="K67">
        <v>10</v>
      </c>
      <c r="M67">
        <v>11</v>
      </c>
      <c r="N67">
        <v>12</v>
      </c>
      <c r="O67">
        <v>13</v>
      </c>
      <c r="P67">
        <v>14</v>
      </c>
      <c r="Q67">
        <v>15</v>
      </c>
      <c r="S67" t="s">
        <v>38</v>
      </c>
      <c r="W67">
        <v>6</v>
      </c>
    </row>
    <row r="68" spans="1:25" x14ac:dyDescent="0.25">
      <c r="A68">
        <v>2</v>
      </c>
      <c r="B68">
        <v>4</v>
      </c>
      <c r="C68">
        <v>3</v>
      </c>
      <c r="D68">
        <v>5</v>
      </c>
      <c r="E68">
        <v>1</v>
      </c>
      <c r="G68">
        <v>7</v>
      </c>
      <c r="H68">
        <v>9</v>
      </c>
      <c r="I68">
        <v>8</v>
      </c>
      <c r="J68">
        <v>10</v>
      </c>
      <c r="K68">
        <v>6</v>
      </c>
      <c r="M68">
        <v>11</v>
      </c>
      <c r="N68">
        <v>12</v>
      </c>
      <c r="O68">
        <v>13</v>
      </c>
      <c r="P68">
        <v>14</v>
      </c>
      <c r="Q68">
        <v>15</v>
      </c>
      <c r="S68" t="s">
        <v>39</v>
      </c>
      <c r="W68">
        <v>8</v>
      </c>
    </row>
    <row r="69" spans="1:25" x14ac:dyDescent="0.25">
      <c r="A69">
        <v>2</v>
      </c>
      <c r="B69">
        <v>4</v>
      </c>
      <c r="C69">
        <v>3</v>
      </c>
      <c r="D69">
        <v>5</v>
      </c>
      <c r="E69">
        <v>1</v>
      </c>
      <c r="G69">
        <v>7</v>
      </c>
      <c r="H69">
        <v>9</v>
      </c>
      <c r="I69">
        <v>8</v>
      </c>
      <c r="J69">
        <v>10</v>
      </c>
      <c r="K69">
        <v>6</v>
      </c>
      <c r="M69">
        <v>12</v>
      </c>
      <c r="N69">
        <v>11</v>
      </c>
      <c r="O69">
        <v>13</v>
      </c>
      <c r="P69">
        <v>14</v>
      </c>
      <c r="Q69">
        <v>15</v>
      </c>
      <c r="S69" t="s">
        <v>49</v>
      </c>
      <c r="W69">
        <v>10</v>
      </c>
    </row>
    <row r="70" spans="1:25" x14ac:dyDescent="0.25">
      <c r="A70">
        <v>2</v>
      </c>
      <c r="B70">
        <v>4</v>
      </c>
      <c r="C70">
        <v>3</v>
      </c>
      <c r="D70">
        <v>5</v>
      </c>
      <c r="E70">
        <v>1</v>
      </c>
      <c r="G70">
        <v>7</v>
      </c>
      <c r="H70">
        <v>9</v>
      </c>
      <c r="I70">
        <v>8</v>
      </c>
      <c r="J70">
        <v>10</v>
      </c>
      <c r="K70">
        <v>6</v>
      </c>
      <c r="M70">
        <v>11</v>
      </c>
      <c r="N70">
        <v>14</v>
      </c>
      <c r="O70">
        <v>13</v>
      </c>
      <c r="P70">
        <v>12</v>
      </c>
      <c r="Q70">
        <v>15</v>
      </c>
      <c r="S70" t="s">
        <v>50</v>
      </c>
      <c r="W70">
        <v>11</v>
      </c>
    </row>
    <row r="71" spans="1:25" x14ac:dyDescent="0.25">
      <c r="A71">
        <v>2</v>
      </c>
      <c r="B71">
        <v>4</v>
      </c>
      <c r="C71">
        <v>3</v>
      </c>
      <c r="D71">
        <v>5</v>
      </c>
      <c r="E71">
        <v>1</v>
      </c>
      <c r="G71">
        <v>7</v>
      </c>
      <c r="H71">
        <v>9</v>
      </c>
      <c r="I71">
        <v>8</v>
      </c>
      <c r="J71">
        <v>10</v>
      </c>
      <c r="K71">
        <v>6</v>
      </c>
      <c r="M71">
        <v>11</v>
      </c>
      <c r="N71">
        <v>14</v>
      </c>
      <c r="O71">
        <v>13</v>
      </c>
      <c r="P71">
        <v>15</v>
      </c>
      <c r="Q71">
        <v>12</v>
      </c>
      <c r="S71" t="s">
        <v>40</v>
      </c>
      <c r="W71">
        <v>13</v>
      </c>
    </row>
    <row r="72" spans="1:25" x14ac:dyDescent="0.25">
      <c r="A72" t="s">
        <v>44</v>
      </c>
      <c r="B72" t="s">
        <v>43</v>
      </c>
      <c r="C72" t="s">
        <v>45</v>
      </c>
      <c r="D72" t="s">
        <v>44</v>
      </c>
      <c r="E72" t="s">
        <v>43</v>
      </c>
      <c r="G72" t="s">
        <v>43</v>
      </c>
      <c r="H72" t="s">
        <v>45</v>
      </c>
      <c r="I72" t="s">
        <v>44</v>
      </c>
      <c r="J72" t="s">
        <v>43</v>
      </c>
      <c r="K72" t="s">
        <v>43</v>
      </c>
      <c r="M72" t="s">
        <v>44</v>
      </c>
      <c r="N72" t="s">
        <v>44</v>
      </c>
      <c r="O72" t="s">
        <v>43</v>
      </c>
      <c r="P72" t="s">
        <v>45</v>
      </c>
      <c r="Q72" t="s">
        <v>45</v>
      </c>
    </row>
    <row r="75" spans="1:25" x14ac:dyDescent="0.25">
      <c r="A75">
        <v>1</v>
      </c>
      <c r="B75">
        <v>2</v>
      </c>
      <c r="C75">
        <v>3</v>
      </c>
      <c r="D75">
        <v>4</v>
      </c>
      <c r="E75">
        <v>5</v>
      </c>
      <c r="F75">
        <v>6</v>
      </c>
      <c r="G75">
        <v>7</v>
      </c>
      <c r="H75">
        <v>8</v>
      </c>
      <c r="I75">
        <v>9</v>
      </c>
      <c r="J75">
        <v>10</v>
      </c>
      <c r="K75">
        <v>11</v>
      </c>
      <c r="L75">
        <v>12</v>
      </c>
      <c r="M75">
        <v>13</v>
      </c>
      <c r="N75">
        <v>14</v>
      </c>
      <c r="O75">
        <v>15</v>
      </c>
      <c r="P75">
        <v>16</v>
      </c>
      <c r="Q75">
        <v>17</v>
      </c>
      <c r="R75">
        <v>18</v>
      </c>
      <c r="S75">
        <v>19</v>
      </c>
      <c r="T75">
        <v>20</v>
      </c>
      <c r="U75">
        <v>21</v>
      </c>
    </row>
    <row r="76" spans="1:25" x14ac:dyDescent="0.25">
      <c r="C76">
        <v>2</v>
      </c>
      <c r="D76">
        <v>3</v>
      </c>
      <c r="E76">
        <v>4</v>
      </c>
      <c r="J76">
        <v>7</v>
      </c>
      <c r="K76">
        <v>8</v>
      </c>
      <c r="L76">
        <v>9</v>
      </c>
      <c r="Q76">
        <v>12</v>
      </c>
      <c r="R76">
        <v>13</v>
      </c>
      <c r="S76">
        <v>14</v>
      </c>
      <c r="W76">
        <v>1</v>
      </c>
      <c r="X76">
        <v>2</v>
      </c>
      <c r="Y76">
        <v>3</v>
      </c>
    </row>
    <row r="77" spans="1:25" x14ac:dyDescent="0.25">
      <c r="A77" s="24">
        <v>2</v>
      </c>
      <c r="B77" s="24">
        <v>1</v>
      </c>
      <c r="C77" s="11">
        <v>2</v>
      </c>
      <c r="D77" s="11">
        <v>4</v>
      </c>
      <c r="E77" s="11">
        <v>3</v>
      </c>
      <c r="F77" s="24">
        <v>5</v>
      </c>
      <c r="G77" s="24">
        <v>4</v>
      </c>
      <c r="H77" s="11">
        <v>7</v>
      </c>
      <c r="I77" s="11">
        <v>6</v>
      </c>
      <c r="J77" s="24">
        <v>7</v>
      </c>
      <c r="K77" s="24">
        <v>9</v>
      </c>
      <c r="L77" s="24">
        <v>8</v>
      </c>
      <c r="M77" s="11">
        <v>10</v>
      </c>
      <c r="N77" s="11">
        <v>9</v>
      </c>
      <c r="O77" s="24">
        <v>12</v>
      </c>
      <c r="P77" s="24">
        <v>11</v>
      </c>
      <c r="Q77" s="11">
        <v>12</v>
      </c>
      <c r="R77" s="11">
        <v>14</v>
      </c>
      <c r="S77" s="11">
        <v>13</v>
      </c>
      <c r="T77" s="24">
        <v>15</v>
      </c>
      <c r="U77" s="24">
        <v>14</v>
      </c>
      <c r="W77">
        <v>1</v>
      </c>
      <c r="X77">
        <v>3</v>
      </c>
      <c r="Y77">
        <v>2</v>
      </c>
    </row>
    <row r="78" spans="1:25" x14ac:dyDescent="0.25">
      <c r="A78" s="24">
        <v>2</v>
      </c>
      <c r="B78" s="24">
        <v>1</v>
      </c>
      <c r="C78" s="11">
        <v>3</v>
      </c>
      <c r="D78" s="11">
        <v>2</v>
      </c>
      <c r="E78" s="11">
        <v>4</v>
      </c>
      <c r="F78" s="24">
        <v>5</v>
      </c>
      <c r="G78" s="24">
        <v>4</v>
      </c>
      <c r="H78" s="11">
        <v>7</v>
      </c>
      <c r="I78" s="11">
        <v>6</v>
      </c>
      <c r="J78" s="24">
        <v>8</v>
      </c>
      <c r="K78" s="24">
        <v>7</v>
      </c>
      <c r="L78" s="24">
        <v>9</v>
      </c>
      <c r="M78" s="11">
        <v>10</v>
      </c>
      <c r="N78" s="11">
        <v>9</v>
      </c>
      <c r="O78" s="24">
        <v>12</v>
      </c>
      <c r="P78" s="24">
        <v>11</v>
      </c>
      <c r="Q78" s="11">
        <v>13</v>
      </c>
      <c r="R78" s="11">
        <v>12</v>
      </c>
      <c r="S78" s="11">
        <v>14</v>
      </c>
      <c r="T78" s="24">
        <v>15</v>
      </c>
      <c r="U78" s="24">
        <v>14</v>
      </c>
      <c r="W78">
        <v>2</v>
      </c>
      <c r="X78">
        <v>1</v>
      </c>
      <c r="Y78">
        <v>3</v>
      </c>
    </row>
    <row r="79" spans="1:25" x14ac:dyDescent="0.25">
      <c r="A79" s="24">
        <v>2</v>
      </c>
      <c r="B79" s="24">
        <v>1</v>
      </c>
      <c r="C79" s="11">
        <v>3</v>
      </c>
      <c r="D79" s="11">
        <v>4</v>
      </c>
      <c r="E79" s="11">
        <v>2</v>
      </c>
      <c r="F79" s="24">
        <v>5</v>
      </c>
      <c r="G79" s="24">
        <v>4</v>
      </c>
      <c r="H79" s="11">
        <v>7</v>
      </c>
      <c r="I79" s="11">
        <v>6</v>
      </c>
      <c r="J79" s="24">
        <v>8</v>
      </c>
      <c r="K79" s="24">
        <v>9</v>
      </c>
      <c r="L79" s="24">
        <v>7</v>
      </c>
      <c r="M79" s="11">
        <v>10</v>
      </c>
      <c r="N79" s="11">
        <v>9</v>
      </c>
      <c r="O79" s="24">
        <v>12</v>
      </c>
      <c r="P79" s="24">
        <v>11</v>
      </c>
      <c r="Q79" s="11">
        <v>13</v>
      </c>
      <c r="R79" s="11">
        <v>14</v>
      </c>
      <c r="S79" s="11">
        <v>12</v>
      </c>
      <c r="T79" s="24">
        <v>15</v>
      </c>
      <c r="U79" s="24">
        <v>14</v>
      </c>
      <c r="W79">
        <v>2</v>
      </c>
      <c r="X79">
        <v>3</v>
      </c>
      <c r="Y79">
        <v>1</v>
      </c>
    </row>
    <row r="80" spans="1:25" x14ac:dyDescent="0.25">
      <c r="A80" s="24">
        <v>2</v>
      </c>
      <c r="B80" s="24">
        <v>1</v>
      </c>
      <c r="C80" s="11">
        <v>4</v>
      </c>
      <c r="D80" s="11">
        <v>2</v>
      </c>
      <c r="E80" s="11">
        <v>3</v>
      </c>
      <c r="F80" s="24">
        <v>5</v>
      </c>
      <c r="G80" s="24">
        <v>4</v>
      </c>
      <c r="H80" s="11">
        <v>7</v>
      </c>
      <c r="I80" s="11">
        <v>6</v>
      </c>
      <c r="J80" s="24">
        <v>9</v>
      </c>
      <c r="K80" s="24">
        <v>7</v>
      </c>
      <c r="L80" s="24">
        <v>8</v>
      </c>
      <c r="M80" s="11">
        <v>10</v>
      </c>
      <c r="N80" s="11">
        <v>9</v>
      </c>
      <c r="O80" s="24">
        <v>12</v>
      </c>
      <c r="P80" s="24">
        <v>11</v>
      </c>
      <c r="Q80" s="11">
        <v>14</v>
      </c>
      <c r="R80" s="11">
        <v>12</v>
      </c>
      <c r="S80" s="11">
        <v>13</v>
      </c>
      <c r="T80" s="24">
        <v>15</v>
      </c>
      <c r="U80" s="24">
        <v>14</v>
      </c>
      <c r="W80">
        <v>3</v>
      </c>
      <c r="X80">
        <v>1</v>
      </c>
      <c r="Y80">
        <v>2</v>
      </c>
    </row>
    <row r="81" spans="1:25" x14ac:dyDescent="0.25">
      <c r="A81" s="24">
        <v>2</v>
      </c>
      <c r="B81" s="24">
        <v>1</v>
      </c>
      <c r="C81" s="11">
        <v>4</v>
      </c>
      <c r="D81" s="11">
        <v>3</v>
      </c>
      <c r="E81" s="11">
        <v>2</v>
      </c>
      <c r="F81" s="24">
        <v>5</v>
      </c>
      <c r="G81" s="24">
        <v>4</v>
      </c>
      <c r="H81" s="11">
        <v>7</v>
      </c>
      <c r="I81" s="11">
        <v>6</v>
      </c>
      <c r="J81" s="24">
        <v>9</v>
      </c>
      <c r="K81" s="24">
        <v>8</v>
      </c>
      <c r="L81" s="24">
        <v>7</v>
      </c>
      <c r="M81" s="11">
        <v>10</v>
      </c>
      <c r="N81" s="11">
        <v>9</v>
      </c>
      <c r="O81" s="24">
        <v>12</v>
      </c>
      <c r="P81" s="24">
        <v>11</v>
      </c>
      <c r="Q81" s="11">
        <v>14</v>
      </c>
      <c r="R81" s="11">
        <v>13</v>
      </c>
      <c r="S81" s="11">
        <v>12</v>
      </c>
      <c r="T81" s="24">
        <v>15</v>
      </c>
      <c r="U81" s="24">
        <v>14</v>
      </c>
      <c r="W81">
        <v>3</v>
      </c>
      <c r="X81">
        <v>2</v>
      </c>
      <c r="Y81">
        <v>1</v>
      </c>
    </row>
    <row r="83" spans="1:25" x14ac:dyDescent="0.25">
      <c r="A83" t="s">
        <v>2</v>
      </c>
      <c r="B83" t="s">
        <v>1</v>
      </c>
      <c r="C83" t="s">
        <v>1</v>
      </c>
      <c r="D83" t="s">
        <v>1</v>
      </c>
      <c r="E83" t="s">
        <v>0</v>
      </c>
      <c r="F83" t="s">
        <v>0</v>
      </c>
      <c r="G83" t="s">
        <v>2</v>
      </c>
      <c r="H83" t="s">
        <v>1</v>
      </c>
      <c r="I83" t="s">
        <v>2</v>
      </c>
      <c r="J83" t="s">
        <v>2</v>
      </c>
      <c r="K83" t="s">
        <v>0</v>
      </c>
      <c r="L83" t="s">
        <v>0</v>
      </c>
      <c r="M83" t="s">
        <v>2</v>
      </c>
      <c r="N83" t="s">
        <v>0</v>
      </c>
      <c r="O83" t="s">
        <v>2</v>
      </c>
    </row>
    <row r="84" spans="1:25" x14ac:dyDescent="0.25">
      <c r="A84" t="s">
        <v>1</v>
      </c>
      <c r="B84" t="s">
        <v>2</v>
      </c>
      <c r="C84" t="s">
        <v>1</v>
      </c>
      <c r="D84" t="s">
        <v>1</v>
      </c>
      <c r="E84" t="s">
        <v>0</v>
      </c>
      <c r="F84" t="s">
        <v>0</v>
      </c>
      <c r="G84" t="s">
        <v>2</v>
      </c>
      <c r="H84" t="s">
        <v>1</v>
      </c>
      <c r="I84" t="s">
        <v>2</v>
      </c>
      <c r="J84" t="s">
        <v>2</v>
      </c>
      <c r="K84" t="s">
        <v>0</v>
      </c>
      <c r="L84" t="s">
        <v>0</v>
      </c>
      <c r="M84" t="s">
        <v>2</v>
      </c>
      <c r="N84" t="s">
        <v>0</v>
      </c>
      <c r="O84" t="s">
        <v>2</v>
      </c>
      <c r="Q84" t="s">
        <v>35</v>
      </c>
    </row>
    <row r="85" spans="1:25" x14ac:dyDescent="0.25">
      <c r="A85" t="s">
        <v>1</v>
      </c>
      <c r="B85" t="s">
        <v>2</v>
      </c>
      <c r="C85" t="s">
        <v>1</v>
      </c>
      <c r="D85" t="s">
        <v>1</v>
      </c>
      <c r="E85" t="s">
        <v>0</v>
      </c>
      <c r="F85" t="s">
        <v>0</v>
      </c>
      <c r="G85" t="s">
        <v>2</v>
      </c>
      <c r="H85" t="s">
        <v>1</v>
      </c>
      <c r="I85" t="s">
        <v>2</v>
      </c>
      <c r="J85" t="s">
        <v>2</v>
      </c>
      <c r="K85" t="s">
        <v>0</v>
      </c>
      <c r="L85" t="s">
        <v>0</v>
      </c>
      <c r="M85" t="s">
        <v>2</v>
      </c>
      <c r="N85" t="s">
        <v>0</v>
      </c>
      <c r="O85" t="s">
        <v>2</v>
      </c>
      <c r="Q85" t="s">
        <v>34</v>
      </c>
    </row>
    <row r="86" spans="1:25" x14ac:dyDescent="0.25">
      <c r="A86" t="s">
        <v>1</v>
      </c>
      <c r="B86" t="s">
        <v>2</v>
      </c>
      <c r="C86" t="s">
        <v>1</v>
      </c>
      <c r="D86" t="s">
        <v>0</v>
      </c>
      <c r="E86" t="s">
        <v>1</v>
      </c>
      <c r="F86" t="s">
        <v>0</v>
      </c>
      <c r="G86" t="s">
        <v>2</v>
      </c>
      <c r="H86" t="s">
        <v>1</v>
      </c>
      <c r="I86" t="s">
        <v>2</v>
      </c>
      <c r="J86" t="s">
        <v>2</v>
      </c>
      <c r="K86" t="s">
        <v>0</v>
      </c>
      <c r="L86" t="s">
        <v>0</v>
      </c>
      <c r="M86" t="s">
        <v>2</v>
      </c>
      <c r="N86" t="s">
        <v>0</v>
      </c>
      <c r="O86" t="s">
        <v>2</v>
      </c>
      <c r="Q86" t="s">
        <v>36</v>
      </c>
    </row>
    <row r="87" spans="1:25" x14ac:dyDescent="0.25">
      <c r="A87" t="s">
        <v>1</v>
      </c>
      <c r="B87" t="s">
        <v>2</v>
      </c>
      <c r="C87" t="s">
        <v>1</v>
      </c>
      <c r="D87" t="s">
        <v>0</v>
      </c>
      <c r="E87" t="s">
        <v>1</v>
      </c>
      <c r="F87" t="s">
        <v>2</v>
      </c>
      <c r="G87" t="s">
        <v>0</v>
      </c>
      <c r="H87" t="s">
        <v>1</v>
      </c>
      <c r="I87" t="s">
        <v>2</v>
      </c>
      <c r="J87" t="s">
        <v>2</v>
      </c>
      <c r="K87" t="s">
        <v>0</v>
      </c>
      <c r="L87" t="s">
        <v>0</v>
      </c>
      <c r="M87" t="s">
        <v>2</v>
      </c>
      <c r="N87" t="s">
        <v>0</v>
      </c>
      <c r="O87" t="s">
        <v>2</v>
      </c>
      <c r="Q87" t="s">
        <v>37</v>
      </c>
    </row>
    <row r="88" spans="1:25" x14ac:dyDescent="0.25">
      <c r="A88" t="s">
        <v>1</v>
      </c>
      <c r="B88" t="s">
        <v>2</v>
      </c>
      <c r="C88" t="s">
        <v>1</v>
      </c>
      <c r="D88" t="s">
        <v>0</v>
      </c>
      <c r="E88" t="s">
        <v>1</v>
      </c>
      <c r="F88" t="s">
        <v>2</v>
      </c>
      <c r="G88" t="s">
        <v>0</v>
      </c>
      <c r="H88" t="s">
        <v>2</v>
      </c>
      <c r="I88" t="s">
        <v>1</v>
      </c>
      <c r="J88" t="s">
        <v>2</v>
      </c>
      <c r="K88" t="s">
        <v>0</v>
      </c>
      <c r="L88" t="s">
        <v>0</v>
      </c>
      <c r="M88" t="s">
        <v>2</v>
      </c>
      <c r="N88" t="s">
        <v>0</v>
      </c>
      <c r="O88" t="s">
        <v>2</v>
      </c>
      <c r="Q88" t="s">
        <v>38</v>
      </c>
    </row>
    <row r="89" spans="1:25" x14ac:dyDescent="0.25">
      <c r="A89" t="s">
        <v>1</v>
      </c>
      <c r="B89" t="s">
        <v>2</v>
      </c>
      <c r="C89" t="s">
        <v>1</v>
      </c>
      <c r="D89" t="s">
        <v>0</v>
      </c>
      <c r="E89" t="s">
        <v>1</v>
      </c>
      <c r="F89" t="s">
        <v>2</v>
      </c>
      <c r="G89" t="s">
        <v>0</v>
      </c>
      <c r="H89" t="s">
        <v>2</v>
      </c>
      <c r="I89" t="s">
        <v>2</v>
      </c>
      <c r="J89" t="s">
        <v>1</v>
      </c>
      <c r="K89" t="s">
        <v>0</v>
      </c>
      <c r="L89" t="s">
        <v>0</v>
      </c>
      <c r="M89" t="s">
        <v>2</v>
      </c>
      <c r="N89" t="s">
        <v>0</v>
      </c>
      <c r="O89" t="s">
        <v>2</v>
      </c>
      <c r="Q89" t="s">
        <v>39</v>
      </c>
    </row>
    <row r="90" spans="1:25" x14ac:dyDescent="0.25">
      <c r="A90" t="s">
        <v>1</v>
      </c>
      <c r="B90" t="s">
        <v>2</v>
      </c>
      <c r="C90" t="s">
        <v>1</v>
      </c>
      <c r="D90" t="s">
        <v>0</v>
      </c>
      <c r="E90" t="s">
        <v>1</v>
      </c>
      <c r="F90" t="s">
        <v>2</v>
      </c>
      <c r="G90" t="s">
        <v>0</v>
      </c>
      <c r="H90" t="s">
        <v>2</v>
      </c>
      <c r="I90" t="s">
        <v>2</v>
      </c>
      <c r="J90" t="s">
        <v>1</v>
      </c>
      <c r="K90" t="s">
        <v>0</v>
      </c>
      <c r="L90" t="s">
        <v>0</v>
      </c>
      <c r="M90" t="s">
        <v>2</v>
      </c>
      <c r="N90" t="s">
        <v>0</v>
      </c>
      <c r="O90" t="s">
        <v>2</v>
      </c>
      <c r="Q90" t="s">
        <v>49</v>
      </c>
    </row>
    <row r="91" spans="1:25" x14ac:dyDescent="0.25">
      <c r="A91" t="s">
        <v>1</v>
      </c>
      <c r="B91" t="s">
        <v>2</v>
      </c>
      <c r="C91" t="s">
        <v>1</v>
      </c>
      <c r="D91" t="s">
        <v>0</v>
      </c>
      <c r="E91" t="s">
        <v>1</v>
      </c>
      <c r="F91" t="s">
        <v>2</v>
      </c>
      <c r="G91" t="s">
        <v>0</v>
      </c>
      <c r="H91" t="s">
        <v>2</v>
      </c>
      <c r="I91" t="s">
        <v>2</v>
      </c>
      <c r="J91" t="s">
        <v>1</v>
      </c>
      <c r="K91" t="s">
        <v>0</v>
      </c>
      <c r="L91" t="s">
        <v>0</v>
      </c>
      <c r="M91" t="s">
        <v>0</v>
      </c>
      <c r="N91" t="s">
        <v>2</v>
      </c>
      <c r="O91" t="s">
        <v>2</v>
      </c>
      <c r="Q91" t="s">
        <v>50</v>
      </c>
    </row>
    <row r="92" spans="1:25" x14ac:dyDescent="0.25">
      <c r="A92" t="s">
        <v>1</v>
      </c>
      <c r="B92" t="s">
        <v>2</v>
      </c>
      <c r="C92" t="s">
        <v>1</v>
      </c>
      <c r="D92" t="s">
        <v>0</v>
      </c>
      <c r="E92" t="s">
        <v>1</v>
      </c>
      <c r="F92" t="s">
        <v>2</v>
      </c>
      <c r="G92" t="s">
        <v>0</v>
      </c>
      <c r="H92" t="s">
        <v>2</v>
      </c>
      <c r="I92" t="s">
        <v>2</v>
      </c>
      <c r="J92" t="s">
        <v>1</v>
      </c>
      <c r="K92" t="s">
        <v>0</v>
      </c>
      <c r="L92" t="s">
        <v>0</v>
      </c>
      <c r="M92" t="s">
        <v>0</v>
      </c>
      <c r="N92" t="s">
        <v>2</v>
      </c>
      <c r="O92" t="s">
        <v>2</v>
      </c>
      <c r="Q92" t="s">
        <v>40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44"/>
  <sheetViews>
    <sheetView workbookViewId="0">
      <selection activeCell="X10" sqref="X10"/>
    </sheetView>
  </sheetViews>
  <sheetFormatPr defaultRowHeight="15" x14ac:dyDescent="0.25"/>
  <cols>
    <col min="1" max="15" width="4.42578125" customWidth="1"/>
    <col min="17" max="19" width="5.42578125" customWidth="1"/>
  </cols>
  <sheetData>
    <row r="1" spans="1:19" x14ac:dyDescent="0.25">
      <c r="A1" s="25"/>
    </row>
    <row r="2" spans="1:19" x14ac:dyDescent="0.25">
      <c r="A2" s="11" t="s">
        <v>22</v>
      </c>
      <c r="B2" s="11" t="s">
        <v>21</v>
      </c>
      <c r="C2" s="11" t="s">
        <v>15</v>
      </c>
      <c r="D2" s="11" t="s">
        <v>3</v>
      </c>
      <c r="E2" s="11" t="s">
        <v>18</v>
      </c>
      <c r="F2" s="27" t="s">
        <v>8</v>
      </c>
      <c r="G2" s="27" t="s">
        <v>12</v>
      </c>
      <c r="H2" s="27" t="s">
        <v>13</v>
      </c>
      <c r="I2" s="27" t="s">
        <v>22</v>
      </c>
      <c r="J2" s="27" t="s">
        <v>23</v>
      </c>
      <c r="K2" s="26" t="s">
        <v>21</v>
      </c>
      <c r="L2" s="26" t="s">
        <v>21</v>
      </c>
      <c r="M2" s="26" t="s">
        <v>22</v>
      </c>
      <c r="N2" s="26" t="s">
        <v>12</v>
      </c>
      <c r="O2" s="26" t="s">
        <v>2</v>
      </c>
    </row>
    <row r="3" spans="1:19" x14ac:dyDescent="0.25">
      <c r="A3" s="11"/>
      <c r="B3" s="11"/>
      <c r="C3" s="11"/>
      <c r="D3" s="11"/>
      <c r="E3" s="11"/>
      <c r="F3" s="27"/>
      <c r="G3" s="27"/>
      <c r="H3" s="27"/>
      <c r="I3" s="27"/>
      <c r="J3" s="27"/>
      <c r="K3" s="26" t="s">
        <v>58</v>
      </c>
      <c r="L3" s="26" t="s">
        <v>58</v>
      </c>
      <c r="M3" s="26" t="s">
        <v>46</v>
      </c>
      <c r="N3" s="26" t="s">
        <v>59</v>
      </c>
      <c r="O3" s="26" t="s">
        <v>60</v>
      </c>
    </row>
    <row r="4" spans="1:19" x14ac:dyDescent="0.25">
      <c r="A4" s="11" t="s">
        <v>51</v>
      </c>
      <c r="B4" s="11" t="s">
        <v>51</v>
      </c>
      <c r="C4" s="11" t="s">
        <v>51</v>
      </c>
      <c r="D4" s="11" t="s">
        <v>51</v>
      </c>
      <c r="E4" s="11" t="s">
        <v>51</v>
      </c>
      <c r="F4" s="27" t="s">
        <v>51</v>
      </c>
      <c r="G4" s="27" t="s">
        <v>51</v>
      </c>
      <c r="H4" s="27" t="s">
        <v>19</v>
      </c>
      <c r="I4" s="27" t="s">
        <v>8</v>
      </c>
      <c r="J4" s="27" t="s">
        <v>1</v>
      </c>
      <c r="K4" s="26" t="s">
        <v>4</v>
      </c>
      <c r="L4" s="26" t="s">
        <v>17</v>
      </c>
      <c r="M4" s="26" t="s">
        <v>8</v>
      </c>
      <c r="N4" s="26" t="s">
        <v>20</v>
      </c>
      <c r="O4" s="26" t="s">
        <v>18</v>
      </c>
    </row>
    <row r="5" spans="1:19" x14ac:dyDescent="0.25">
      <c r="A5" s="11"/>
      <c r="B5" s="11"/>
      <c r="C5" s="11"/>
      <c r="D5" s="11"/>
      <c r="E5" s="11"/>
      <c r="F5" s="27"/>
      <c r="G5" s="27"/>
      <c r="H5" s="27" t="s">
        <v>52</v>
      </c>
      <c r="I5" s="27" t="s">
        <v>53</v>
      </c>
      <c r="J5" s="27" t="s">
        <v>31</v>
      </c>
      <c r="K5" s="26" t="s">
        <v>47</v>
      </c>
      <c r="L5" s="26" t="s">
        <v>54</v>
      </c>
      <c r="M5" s="26" t="s">
        <v>53</v>
      </c>
      <c r="N5" s="26" t="s">
        <v>48</v>
      </c>
      <c r="O5" s="26" t="s">
        <v>55</v>
      </c>
    </row>
    <row r="6" spans="1:19" x14ac:dyDescent="0.25">
      <c r="K6" s="26" t="s">
        <v>46</v>
      </c>
      <c r="L6" s="26" t="s">
        <v>56</v>
      </c>
      <c r="M6" s="26" t="s">
        <v>57</v>
      </c>
      <c r="N6" s="26" t="s">
        <v>55</v>
      </c>
      <c r="O6" s="26" t="s">
        <v>57</v>
      </c>
    </row>
    <row r="7" spans="1:19" x14ac:dyDescent="0.25">
      <c r="K7" s="26" t="s">
        <v>22</v>
      </c>
      <c r="L7" s="26" t="s">
        <v>11</v>
      </c>
      <c r="M7" s="26" t="s">
        <v>24</v>
      </c>
      <c r="N7" s="26" t="s">
        <v>18</v>
      </c>
      <c r="O7" s="26" t="s">
        <v>24</v>
      </c>
    </row>
    <row r="10" spans="1:19" x14ac:dyDescent="0.25">
      <c r="A10" s="28">
        <v>1</v>
      </c>
      <c r="B10" s="28">
        <v>2</v>
      </c>
      <c r="C10" s="28">
        <v>3</v>
      </c>
      <c r="D10" s="28">
        <v>4</v>
      </c>
      <c r="E10" s="28">
        <v>5</v>
      </c>
      <c r="F10" s="29">
        <v>6</v>
      </c>
      <c r="G10" s="29">
        <v>7</v>
      </c>
      <c r="H10" s="29">
        <v>8</v>
      </c>
      <c r="I10" s="29">
        <v>9</v>
      </c>
      <c r="J10" s="29">
        <v>10</v>
      </c>
      <c r="K10" s="30">
        <v>11</v>
      </c>
      <c r="L10" s="30">
        <v>12</v>
      </c>
      <c r="M10" s="30">
        <v>13</v>
      </c>
      <c r="N10" s="30">
        <v>14</v>
      </c>
      <c r="O10" s="30">
        <v>15</v>
      </c>
    </row>
    <row r="11" spans="1:19" x14ac:dyDescent="0.25">
      <c r="A11" s="28" t="s">
        <v>0</v>
      </c>
      <c r="B11" s="28" t="s">
        <v>1</v>
      </c>
      <c r="C11" s="28" t="s">
        <v>1</v>
      </c>
      <c r="D11" s="28" t="s">
        <v>1</v>
      </c>
      <c r="E11" s="28" t="s">
        <v>2</v>
      </c>
      <c r="F11" s="29" t="s">
        <v>2</v>
      </c>
      <c r="G11" s="29" t="s">
        <v>0</v>
      </c>
      <c r="H11" s="29" t="s">
        <v>2</v>
      </c>
      <c r="I11" s="29" t="s">
        <v>2</v>
      </c>
      <c r="J11" s="29" t="s">
        <v>2</v>
      </c>
      <c r="K11" s="30" t="s">
        <v>0</v>
      </c>
      <c r="L11" s="30" t="s">
        <v>2</v>
      </c>
      <c r="M11" s="30" t="s">
        <v>2</v>
      </c>
      <c r="N11" s="30" t="s">
        <v>0</v>
      </c>
      <c r="O11" s="30" t="s">
        <v>0</v>
      </c>
      <c r="Q11">
        <f>COUNTIF(A11:O11,"A")</f>
        <v>5</v>
      </c>
      <c r="R11">
        <f>COUNTIF(A11:O11,"B")</f>
        <v>3</v>
      </c>
      <c r="S11">
        <f>COUNTIF(A11:O11,"C")</f>
        <v>7</v>
      </c>
    </row>
    <row r="12" spans="1:19" x14ac:dyDescent="0.25">
      <c r="A12" s="28" t="s">
        <v>2</v>
      </c>
      <c r="B12" s="28" t="s">
        <v>1</v>
      </c>
      <c r="C12" s="28" t="s">
        <v>0</v>
      </c>
      <c r="D12" s="28" t="s">
        <v>2</v>
      </c>
      <c r="E12" s="28" t="s">
        <v>1</v>
      </c>
      <c r="F12" s="29" t="s">
        <v>0</v>
      </c>
      <c r="G12" s="29" t="s">
        <v>2</v>
      </c>
      <c r="H12" s="29" t="s">
        <v>1</v>
      </c>
      <c r="I12" s="29" t="s">
        <v>1</v>
      </c>
      <c r="J12" s="29" t="s">
        <v>1</v>
      </c>
      <c r="K12" s="30" t="s">
        <v>1</v>
      </c>
      <c r="L12" s="30" t="s">
        <v>0</v>
      </c>
      <c r="M12" s="30" t="s">
        <v>0</v>
      </c>
      <c r="N12" s="30" t="s">
        <v>0</v>
      </c>
      <c r="O12" s="30" t="s">
        <v>2</v>
      </c>
      <c r="Q12">
        <f>COUNTIF(A12:O12,"A")</f>
        <v>5</v>
      </c>
      <c r="R12">
        <f>COUNTIF(A12:O12,"B")</f>
        <v>6</v>
      </c>
      <c r="S12">
        <f>COUNTIF(A12:O12,"C")</f>
        <v>4</v>
      </c>
    </row>
    <row r="14" spans="1:19" x14ac:dyDescent="0.25">
      <c r="A14">
        <v>2</v>
      </c>
      <c r="B14">
        <v>1</v>
      </c>
      <c r="P14" t="s">
        <v>35</v>
      </c>
    </row>
    <row r="15" spans="1:19" x14ac:dyDescent="0.25">
      <c r="B15">
        <v>4</v>
      </c>
      <c r="C15">
        <v>3</v>
      </c>
      <c r="D15">
        <v>1</v>
      </c>
      <c r="P15" t="s">
        <v>34</v>
      </c>
    </row>
    <row r="16" spans="1:19" x14ac:dyDescent="0.25">
      <c r="D16">
        <v>5</v>
      </c>
      <c r="E16">
        <v>1</v>
      </c>
      <c r="P16" t="s">
        <v>36</v>
      </c>
    </row>
    <row r="17" spans="1:21" x14ac:dyDescent="0.25">
      <c r="F17">
        <v>7</v>
      </c>
      <c r="G17">
        <v>6</v>
      </c>
      <c r="P17" t="s">
        <v>37</v>
      </c>
    </row>
    <row r="18" spans="1:21" x14ac:dyDescent="0.25">
      <c r="G18">
        <v>9</v>
      </c>
      <c r="H18">
        <v>8</v>
      </c>
      <c r="I18">
        <v>6</v>
      </c>
      <c r="P18" t="s">
        <v>38</v>
      </c>
    </row>
    <row r="19" spans="1:21" x14ac:dyDescent="0.25">
      <c r="I19">
        <v>10</v>
      </c>
      <c r="J19">
        <v>6</v>
      </c>
      <c r="P19" t="s">
        <v>39</v>
      </c>
    </row>
    <row r="20" spans="1:21" x14ac:dyDescent="0.25">
      <c r="K20">
        <v>12</v>
      </c>
      <c r="L20">
        <v>11</v>
      </c>
      <c r="P20" t="s">
        <v>49</v>
      </c>
    </row>
    <row r="21" spans="1:21" x14ac:dyDescent="0.25">
      <c r="L21">
        <v>14</v>
      </c>
      <c r="M21">
        <v>13</v>
      </c>
      <c r="N21">
        <v>11</v>
      </c>
      <c r="P21" t="s">
        <v>50</v>
      </c>
    </row>
    <row r="22" spans="1:21" x14ac:dyDescent="0.25">
      <c r="N22">
        <v>15</v>
      </c>
      <c r="O22">
        <v>11</v>
      </c>
      <c r="P22" t="s">
        <v>40</v>
      </c>
    </row>
    <row r="23" spans="1:21" x14ac:dyDescent="0.25">
      <c r="A23">
        <v>2</v>
      </c>
      <c r="B23">
        <v>4</v>
      </c>
      <c r="C23">
        <v>3</v>
      </c>
      <c r="D23">
        <v>5</v>
      </c>
      <c r="E23">
        <v>1</v>
      </c>
      <c r="F23">
        <v>7</v>
      </c>
      <c r="G23">
        <v>9</v>
      </c>
      <c r="H23">
        <v>8</v>
      </c>
      <c r="I23">
        <v>10</v>
      </c>
      <c r="J23">
        <v>6</v>
      </c>
      <c r="K23">
        <v>12</v>
      </c>
      <c r="L23">
        <v>14</v>
      </c>
      <c r="M23">
        <v>13</v>
      </c>
      <c r="N23">
        <v>15</v>
      </c>
      <c r="O23">
        <v>11</v>
      </c>
    </row>
    <row r="25" spans="1:21" x14ac:dyDescent="0.25">
      <c r="A25" s="24">
        <v>2</v>
      </c>
      <c r="B25" s="24">
        <v>1</v>
      </c>
      <c r="C25" s="11">
        <v>2</v>
      </c>
      <c r="D25" s="11">
        <v>4</v>
      </c>
      <c r="E25" s="11">
        <v>3</v>
      </c>
      <c r="F25" s="24">
        <v>5</v>
      </c>
      <c r="G25" s="24">
        <v>4</v>
      </c>
      <c r="H25" s="11">
        <v>7</v>
      </c>
      <c r="I25" s="11">
        <v>6</v>
      </c>
      <c r="J25" s="24">
        <v>7</v>
      </c>
      <c r="K25" s="24">
        <v>9</v>
      </c>
      <c r="L25" s="24">
        <v>8</v>
      </c>
      <c r="M25" s="11">
        <v>10</v>
      </c>
      <c r="N25" s="11">
        <v>9</v>
      </c>
      <c r="O25" s="24">
        <v>12</v>
      </c>
      <c r="P25" s="24">
        <v>11</v>
      </c>
      <c r="Q25" s="11">
        <v>12</v>
      </c>
      <c r="R25" s="11">
        <v>14</v>
      </c>
      <c r="S25" s="11">
        <v>13</v>
      </c>
      <c r="T25" s="24">
        <v>15</v>
      </c>
      <c r="U25" s="24">
        <v>14</v>
      </c>
    </row>
    <row r="26" spans="1:21" x14ac:dyDescent="0.25">
      <c r="A26" s="24">
        <v>2</v>
      </c>
      <c r="B26" s="24">
        <v>1</v>
      </c>
      <c r="C26" s="11">
        <v>3</v>
      </c>
      <c r="D26" s="11">
        <v>2</v>
      </c>
      <c r="E26" s="11">
        <v>4</v>
      </c>
      <c r="F26" s="24">
        <v>5</v>
      </c>
      <c r="G26" s="24">
        <v>4</v>
      </c>
      <c r="H26" s="11">
        <v>7</v>
      </c>
      <c r="I26" s="11">
        <v>6</v>
      </c>
      <c r="J26" s="24">
        <v>8</v>
      </c>
      <c r="K26" s="24">
        <v>7</v>
      </c>
      <c r="L26" s="24">
        <v>9</v>
      </c>
      <c r="M26" s="11">
        <v>10</v>
      </c>
      <c r="N26" s="11">
        <v>9</v>
      </c>
      <c r="O26" s="24">
        <v>12</v>
      </c>
      <c r="P26" s="24">
        <v>11</v>
      </c>
      <c r="Q26" s="11">
        <v>13</v>
      </c>
      <c r="R26" s="11">
        <v>12</v>
      </c>
      <c r="S26" s="11">
        <v>14</v>
      </c>
      <c r="T26" s="24">
        <v>15</v>
      </c>
      <c r="U26" s="24">
        <v>14</v>
      </c>
    </row>
    <row r="27" spans="1:21" x14ac:dyDescent="0.25">
      <c r="A27" s="24">
        <v>2</v>
      </c>
      <c r="B27" s="24">
        <v>1</v>
      </c>
      <c r="C27" s="11">
        <v>3</v>
      </c>
      <c r="D27" s="11">
        <v>4</v>
      </c>
      <c r="E27" s="11">
        <v>2</v>
      </c>
      <c r="F27" s="24">
        <v>5</v>
      </c>
      <c r="G27" s="24">
        <v>4</v>
      </c>
      <c r="H27" s="11">
        <v>7</v>
      </c>
      <c r="I27" s="11">
        <v>6</v>
      </c>
      <c r="J27" s="24">
        <v>8</v>
      </c>
      <c r="K27" s="24">
        <v>9</v>
      </c>
      <c r="L27" s="24">
        <v>7</v>
      </c>
      <c r="M27" s="11">
        <v>10</v>
      </c>
      <c r="N27" s="11">
        <v>9</v>
      </c>
      <c r="O27" s="24">
        <v>12</v>
      </c>
      <c r="P27" s="24">
        <v>11</v>
      </c>
      <c r="Q27" s="11">
        <v>13</v>
      </c>
      <c r="R27" s="11">
        <v>14</v>
      </c>
      <c r="S27" s="11">
        <v>12</v>
      </c>
      <c r="T27" s="24">
        <v>15</v>
      </c>
      <c r="U27" s="24">
        <v>14</v>
      </c>
    </row>
    <row r="28" spans="1:21" x14ac:dyDescent="0.25">
      <c r="A28" s="24">
        <v>2</v>
      </c>
      <c r="B28" s="24">
        <v>1</v>
      </c>
      <c r="C28" s="11">
        <v>4</v>
      </c>
      <c r="D28" s="11">
        <v>2</v>
      </c>
      <c r="E28" s="11">
        <v>3</v>
      </c>
      <c r="F28" s="24">
        <v>5</v>
      </c>
      <c r="G28" s="24">
        <v>4</v>
      </c>
      <c r="H28" s="11">
        <v>7</v>
      </c>
      <c r="I28" s="11">
        <v>6</v>
      </c>
      <c r="J28" s="24">
        <v>9</v>
      </c>
      <c r="K28" s="24">
        <v>7</v>
      </c>
      <c r="L28" s="24">
        <v>8</v>
      </c>
      <c r="M28" s="11">
        <v>10</v>
      </c>
      <c r="N28" s="11">
        <v>9</v>
      </c>
      <c r="O28" s="24">
        <v>12</v>
      </c>
      <c r="P28" s="24">
        <v>11</v>
      </c>
      <c r="Q28" s="11">
        <v>14</v>
      </c>
      <c r="R28" s="11">
        <v>12</v>
      </c>
      <c r="S28" s="11">
        <v>13</v>
      </c>
      <c r="T28" s="24">
        <v>15</v>
      </c>
      <c r="U28" s="24">
        <v>14</v>
      </c>
    </row>
    <row r="29" spans="1:21" x14ac:dyDescent="0.25">
      <c r="A29" s="24">
        <v>2</v>
      </c>
      <c r="B29" s="24">
        <v>1</v>
      </c>
      <c r="C29" s="11">
        <v>4</v>
      </c>
      <c r="D29" s="11">
        <v>3</v>
      </c>
      <c r="E29" s="11">
        <v>2</v>
      </c>
      <c r="F29" s="24">
        <v>5</v>
      </c>
      <c r="G29" s="24">
        <v>4</v>
      </c>
      <c r="H29" s="11">
        <v>7</v>
      </c>
      <c r="I29" s="11">
        <v>6</v>
      </c>
      <c r="J29" s="24">
        <v>9</v>
      </c>
      <c r="K29" s="24">
        <v>8</v>
      </c>
      <c r="L29" s="24">
        <v>7</v>
      </c>
      <c r="M29" s="11">
        <v>10</v>
      </c>
      <c r="N29" s="11">
        <v>9</v>
      </c>
      <c r="O29" s="24">
        <v>12</v>
      </c>
      <c r="P29" s="24">
        <v>11</v>
      </c>
      <c r="Q29" s="11">
        <v>14</v>
      </c>
      <c r="R29" s="11">
        <v>13</v>
      </c>
      <c r="S29" s="11">
        <v>12</v>
      </c>
      <c r="T29" s="24">
        <v>15</v>
      </c>
      <c r="U29" s="24">
        <v>14</v>
      </c>
    </row>
    <row r="31" spans="1:21" x14ac:dyDescent="0.25">
      <c r="A31">
        <v>2</v>
      </c>
      <c r="B31">
        <v>1</v>
      </c>
      <c r="C31">
        <v>3</v>
      </c>
      <c r="D31">
        <v>5</v>
      </c>
      <c r="E31">
        <v>4</v>
      </c>
      <c r="F31">
        <v>7</v>
      </c>
      <c r="G31">
        <v>6</v>
      </c>
      <c r="H31">
        <v>8</v>
      </c>
      <c r="I31">
        <v>10</v>
      </c>
      <c r="J31">
        <v>9</v>
      </c>
      <c r="K31">
        <v>12</v>
      </c>
      <c r="L31">
        <v>11</v>
      </c>
      <c r="M31">
        <v>13</v>
      </c>
      <c r="N31">
        <v>15</v>
      </c>
      <c r="O31">
        <v>14</v>
      </c>
      <c r="Q31" s="11">
        <v>1</v>
      </c>
      <c r="R31" s="11">
        <v>2</v>
      </c>
      <c r="S31" s="11">
        <v>3</v>
      </c>
    </row>
    <row r="32" spans="1:21" x14ac:dyDescent="0.25">
      <c r="A32">
        <v>2</v>
      </c>
      <c r="B32">
        <v>1</v>
      </c>
      <c r="C32">
        <v>4</v>
      </c>
      <c r="D32">
        <v>5</v>
      </c>
      <c r="E32">
        <v>3</v>
      </c>
      <c r="F32">
        <v>7</v>
      </c>
      <c r="G32">
        <v>6</v>
      </c>
      <c r="H32">
        <v>9</v>
      </c>
      <c r="I32">
        <v>10</v>
      </c>
      <c r="J32">
        <v>8</v>
      </c>
      <c r="K32">
        <v>12</v>
      </c>
      <c r="L32">
        <v>11</v>
      </c>
      <c r="M32">
        <v>14</v>
      </c>
      <c r="N32">
        <v>15</v>
      </c>
      <c r="O32">
        <v>13</v>
      </c>
      <c r="Q32" s="11">
        <v>1</v>
      </c>
      <c r="R32" s="11">
        <v>3</v>
      </c>
      <c r="S32" s="11">
        <v>2</v>
      </c>
    </row>
    <row r="33" spans="1:19" x14ac:dyDescent="0.25">
      <c r="A33">
        <v>2</v>
      </c>
      <c r="B33">
        <v>3</v>
      </c>
      <c r="C33">
        <v>2</v>
      </c>
      <c r="D33">
        <v>5</v>
      </c>
      <c r="E33">
        <v>4</v>
      </c>
      <c r="F33">
        <v>7</v>
      </c>
      <c r="G33">
        <v>8</v>
      </c>
      <c r="H33">
        <v>6</v>
      </c>
      <c r="I33">
        <v>10</v>
      </c>
      <c r="J33">
        <v>9</v>
      </c>
      <c r="K33">
        <v>12</v>
      </c>
      <c r="L33">
        <v>13</v>
      </c>
      <c r="M33">
        <v>12</v>
      </c>
      <c r="N33">
        <v>15</v>
      </c>
      <c r="O33">
        <v>14</v>
      </c>
      <c r="Q33" s="11">
        <v>2</v>
      </c>
      <c r="R33" s="11">
        <v>1</v>
      </c>
      <c r="S33" s="11">
        <v>3</v>
      </c>
    </row>
    <row r="34" spans="1:19" x14ac:dyDescent="0.25">
      <c r="A34">
        <v>2</v>
      </c>
      <c r="B34">
        <v>3</v>
      </c>
      <c r="C34">
        <v>4</v>
      </c>
      <c r="D34">
        <v>5</v>
      </c>
      <c r="E34">
        <v>2</v>
      </c>
      <c r="F34">
        <v>7</v>
      </c>
      <c r="G34">
        <v>8</v>
      </c>
      <c r="H34">
        <v>9</v>
      </c>
      <c r="I34">
        <v>10</v>
      </c>
      <c r="J34">
        <v>6</v>
      </c>
      <c r="K34">
        <v>12</v>
      </c>
      <c r="L34">
        <v>13</v>
      </c>
      <c r="M34">
        <v>14</v>
      </c>
      <c r="N34">
        <v>15</v>
      </c>
      <c r="O34">
        <v>12</v>
      </c>
      <c r="Q34" s="11">
        <v>2</v>
      </c>
      <c r="R34" s="11">
        <v>3</v>
      </c>
      <c r="S34" s="11">
        <v>1</v>
      </c>
    </row>
    <row r="35" spans="1:19" x14ac:dyDescent="0.25">
      <c r="A35">
        <v>2</v>
      </c>
      <c r="B35">
        <v>4</v>
      </c>
      <c r="C35">
        <v>1</v>
      </c>
      <c r="D35">
        <v>5</v>
      </c>
      <c r="E35">
        <v>3</v>
      </c>
      <c r="F35">
        <v>7</v>
      </c>
      <c r="G35">
        <v>9</v>
      </c>
      <c r="H35">
        <v>6</v>
      </c>
      <c r="I35">
        <v>10</v>
      </c>
      <c r="J35">
        <v>8</v>
      </c>
      <c r="K35">
        <v>12</v>
      </c>
      <c r="L35">
        <v>14</v>
      </c>
      <c r="M35">
        <v>11</v>
      </c>
      <c r="N35">
        <v>15</v>
      </c>
      <c r="O35">
        <v>13</v>
      </c>
      <c r="Q35" s="11">
        <v>3</v>
      </c>
      <c r="R35" s="11">
        <v>1</v>
      </c>
      <c r="S35" s="11">
        <v>2</v>
      </c>
    </row>
    <row r="36" spans="1:19" x14ac:dyDescent="0.25">
      <c r="A36">
        <v>2</v>
      </c>
      <c r="B36">
        <v>4</v>
      </c>
      <c r="C36">
        <v>3</v>
      </c>
      <c r="D36">
        <v>5</v>
      </c>
      <c r="E36">
        <v>1</v>
      </c>
      <c r="F36">
        <v>7</v>
      </c>
      <c r="G36">
        <v>9</v>
      </c>
      <c r="H36">
        <v>8</v>
      </c>
      <c r="I36">
        <v>10</v>
      </c>
      <c r="J36">
        <v>6</v>
      </c>
      <c r="K36">
        <v>12</v>
      </c>
      <c r="L36">
        <v>14</v>
      </c>
      <c r="M36">
        <v>13</v>
      </c>
      <c r="N36">
        <v>15</v>
      </c>
      <c r="O36">
        <v>11</v>
      </c>
      <c r="Q36" s="11">
        <v>3</v>
      </c>
      <c r="R36" s="11">
        <v>2</v>
      </c>
      <c r="S36" s="11">
        <v>1</v>
      </c>
    </row>
    <row r="39" spans="1:19" x14ac:dyDescent="0.25">
      <c r="A39" t="str">
        <f>INDEX($A$11:$O$11,A31)</f>
        <v>B</v>
      </c>
      <c r="B39" t="str">
        <f t="shared" ref="B39:O40" si="0">INDEX($A$11:$O$11,B31)</f>
        <v>A</v>
      </c>
      <c r="C39" t="str">
        <f t="shared" si="0"/>
        <v>B</v>
      </c>
      <c r="D39" t="str">
        <f t="shared" si="0"/>
        <v>C</v>
      </c>
      <c r="E39" t="str">
        <f t="shared" si="0"/>
        <v>B</v>
      </c>
      <c r="F39" t="str">
        <f t="shared" si="0"/>
        <v>A</v>
      </c>
      <c r="G39" t="str">
        <f t="shared" si="0"/>
        <v>C</v>
      </c>
      <c r="H39" t="str">
        <f t="shared" si="0"/>
        <v>C</v>
      </c>
      <c r="I39" t="str">
        <f t="shared" si="0"/>
        <v>C</v>
      </c>
      <c r="J39" t="str">
        <f t="shared" si="0"/>
        <v>C</v>
      </c>
      <c r="K39" t="str">
        <f t="shared" si="0"/>
        <v>C</v>
      </c>
      <c r="L39" t="str">
        <f t="shared" si="0"/>
        <v>A</v>
      </c>
      <c r="M39" t="str">
        <f t="shared" si="0"/>
        <v>C</v>
      </c>
      <c r="N39" t="str">
        <f t="shared" si="0"/>
        <v>A</v>
      </c>
      <c r="O39" t="str">
        <f t="shared" si="0"/>
        <v>A</v>
      </c>
    </row>
    <row r="40" spans="1:19" x14ac:dyDescent="0.25">
      <c r="A40" t="str">
        <f>INDEX($A$11:$O$11,A32)</f>
        <v>B</v>
      </c>
      <c r="B40" t="str">
        <f t="shared" si="0"/>
        <v>A</v>
      </c>
      <c r="C40" t="str">
        <f t="shared" si="0"/>
        <v>B</v>
      </c>
      <c r="D40" t="str">
        <f t="shared" si="0"/>
        <v>C</v>
      </c>
      <c r="E40" t="str">
        <f t="shared" si="0"/>
        <v>B</v>
      </c>
      <c r="F40" t="str">
        <f t="shared" si="0"/>
        <v>A</v>
      </c>
      <c r="G40" t="str">
        <f t="shared" si="0"/>
        <v>C</v>
      </c>
      <c r="H40" t="str">
        <f t="shared" si="0"/>
        <v>C</v>
      </c>
      <c r="I40" t="str">
        <f t="shared" si="0"/>
        <v>C</v>
      </c>
      <c r="J40" t="str">
        <f t="shared" si="0"/>
        <v>C</v>
      </c>
      <c r="K40" t="str">
        <f t="shared" si="0"/>
        <v>C</v>
      </c>
      <c r="L40" t="str">
        <f t="shared" si="0"/>
        <v>A</v>
      </c>
      <c r="M40" t="str">
        <f t="shared" si="0"/>
        <v>A</v>
      </c>
      <c r="N40" t="str">
        <f t="shared" si="0"/>
        <v>A</v>
      </c>
      <c r="O40" t="str">
        <f t="shared" si="0"/>
        <v>C</v>
      </c>
    </row>
    <row r="41" spans="1:19" x14ac:dyDescent="0.25">
      <c r="A41" t="str">
        <f t="shared" ref="A41:O41" si="1">INDEX($A$11:$O$11,A33)</f>
        <v>B</v>
      </c>
      <c r="B41" t="str">
        <f t="shared" si="1"/>
        <v>B</v>
      </c>
      <c r="C41" t="str">
        <f t="shared" si="1"/>
        <v>B</v>
      </c>
      <c r="D41" t="str">
        <f t="shared" si="1"/>
        <v>C</v>
      </c>
      <c r="E41" t="str">
        <f t="shared" si="1"/>
        <v>B</v>
      </c>
      <c r="F41" t="str">
        <f t="shared" si="1"/>
        <v>A</v>
      </c>
      <c r="G41" t="str">
        <f t="shared" si="1"/>
        <v>C</v>
      </c>
      <c r="H41" t="str">
        <f t="shared" si="1"/>
        <v>C</v>
      </c>
      <c r="I41" t="str">
        <f t="shared" si="1"/>
        <v>C</v>
      </c>
      <c r="J41" t="str">
        <f t="shared" si="1"/>
        <v>C</v>
      </c>
      <c r="K41" t="str">
        <f t="shared" si="1"/>
        <v>C</v>
      </c>
      <c r="L41" t="str">
        <f t="shared" si="1"/>
        <v>C</v>
      </c>
      <c r="M41" t="str">
        <f t="shared" si="1"/>
        <v>C</v>
      </c>
      <c r="N41" t="str">
        <f t="shared" si="1"/>
        <v>A</v>
      </c>
      <c r="O41" t="str">
        <f t="shared" si="1"/>
        <v>A</v>
      </c>
    </row>
    <row r="42" spans="1:19" x14ac:dyDescent="0.25">
      <c r="A42" t="str">
        <f t="shared" ref="A42:O42" si="2">INDEX($A$11:$O$11,A34)</f>
        <v>B</v>
      </c>
      <c r="B42" t="str">
        <f t="shared" si="2"/>
        <v>B</v>
      </c>
      <c r="C42" t="str">
        <f t="shared" si="2"/>
        <v>B</v>
      </c>
      <c r="D42" t="str">
        <f t="shared" si="2"/>
        <v>C</v>
      </c>
      <c r="E42" t="str">
        <f t="shared" si="2"/>
        <v>B</v>
      </c>
      <c r="F42" t="str">
        <f t="shared" si="2"/>
        <v>A</v>
      </c>
      <c r="G42" t="str">
        <f t="shared" si="2"/>
        <v>C</v>
      </c>
      <c r="H42" t="str">
        <f t="shared" si="2"/>
        <v>C</v>
      </c>
      <c r="I42" t="str">
        <f t="shared" si="2"/>
        <v>C</v>
      </c>
      <c r="J42" t="str">
        <f t="shared" si="2"/>
        <v>C</v>
      </c>
      <c r="K42" t="str">
        <f t="shared" si="2"/>
        <v>C</v>
      </c>
      <c r="L42" t="str">
        <f t="shared" si="2"/>
        <v>C</v>
      </c>
      <c r="M42" t="str">
        <f t="shared" si="2"/>
        <v>A</v>
      </c>
      <c r="N42" t="str">
        <f t="shared" si="2"/>
        <v>A</v>
      </c>
      <c r="O42" t="str">
        <f t="shared" si="2"/>
        <v>C</v>
      </c>
    </row>
    <row r="43" spans="1:19" x14ac:dyDescent="0.25">
      <c r="A43" t="str">
        <f t="shared" ref="A43:O43" si="3">INDEX($A$11:$O$11,A35)</f>
        <v>B</v>
      </c>
      <c r="B43" t="str">
        <f t="shared" si="3"/>
        <v>B</v>
      </c>
      <c r="C43" t="str">
        <f t="shared" si="3"/>
        <v>A</v>
      </c>
      <c r="D43" t="str">
        <f t="shared" si="3"/>
        <v>C</v>
      </c>
      <c r="E43" t="str">
        <f t="shared" si="3"/>
        <v>B</v>
      </c>
      <c r="F43" t="str">
        <f t="shared" si="3"/>
        <v>A</v>
      </c>
      <c r="G43" t="str">
        <f t="shared" si="3"/>
        <v>C</v>
      </c>
      <c r="H43" t="str">
        <f t="shared" si="3"/>
        <v>C</v>
      </c>
      <c r="I43" t="str">
        <f t="shared" si="3"/>
        <v>C</v>
      </c>
      <c r="J43" t="str">
        <f t="shared" si="3"/>
        <v>C</v>
      </c>
      <c r="K43" t="str">
        <f t="shared" si="3"/>
        <v>C</v>
      </c>
      <c r="L43" t="str">
        <f t="shared" si="3"/>
        <v>A</v>
      </c>
      <c r="M43" t="str">
        <f t="shared" si="3"/>
        <v>A</v>
      </c>
      <c r="N43" t="str">
        <f t="shared" si="3"/>
        <v>A</v>
      </c>
      <c r="O43" t="str">
        <f t="shared" si="3"/>
        <v>C</v>
      </c>
    </row>
    <row r="44" spans="1:19" x14ac:dyDescent="0.25">
      <c r="A44" t="str">
        <f t="shared" ref="A44:O44" si="4">INDEX($A$11:$O$11,A36)</f>
        <v>B</v>
      </c>
      <c r="B44" t="str">
        <f t="shared" si="4"/>
        <v>B</v>
      </c>
      <c r="C44" t="str">
        <f t="shared" si="4"/>
        <v>B</v>
      </c>
      <c r="D44" t="str">
        <f t="shared" si="4"/>
        <v>C</v>
      </c>
      <c r="E44" t="str">
        <f t="shared" si="4"/>
        <v>A</v>
      </c>
      <c r="F44" t="str">
        <f t="shared" si="4"/>
        <v>A</v>
      </c>
      <c r="G44" t="str">
        <f t="shared" si="4"/>
        <v>C</v>
      </c>
      <c r="H44" t="str">
        <f t="shared" si="4"/>
        <v>C</v>
      </c>
      <c r="I44" t="str">
        <f t="shared" si="4"/>
        <v>C</v>
      </c>
      <c r="J44" t="str">
        <f t="shared" si="4"/>
        <v>C</v>
      </c>
      <c r="K44" t="str">
        <f t="shared" si="4"/>
        <v>C</v>
      </c>
      <c r="L44" t="str">
        <f t="shared" si="4"/>
        <v>A</v>
      </c>
      <c r="M44" t="str">
        <f t="shared" si="4"/>
        <v>C</v>
      </c>
      <c r="N44" t="str">
        <f t="shared" si="4"/>
        <v>A</v>
      </c>
      <c r="O44" t="str">
        <f t="shared" si="4"/>
        <v>A</v>
      </c>
    </row>
  </sheetData>
  <pageMargins left="0.21" right="0.24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17"/>
  <sheetViews>
    <sheetView workbookViewId="0">
      <selection activeCell="B113" sqref="B113:B114"/>
    </sheetView>
  </sheetViews>
  <sheetFormatPr defaultRowHeight="15" x14ac:dyDescent="0.25"/>
  <cols>
    <col min="1" max="1" width="6.5703125" customWidth="1"/>
    <col min="2" max="2" width="11.5703125" customWidth="1"/>
    <col min="3" max="3" width="6.5703125" customWidth="1"/>
    <col min="4" max="4" width="11.5703125" customWidth="1"/>
    <col min="5" max="5" width="6.5703125" customWidth="1"/>
    <col min="6" max="6" width="11.5703125" customWidth="1"/>
    <col min="7" max="7" width="6.5703125" customWidth="1"/>
    <col min="8" max="8" width="11.5703125" customWidth="1"/>
    <col min="10" max="10" width="14" customWidth="1"/>
  </cols>
  <sheetData>
    <row r="1" spans="1:14" x14ac:dyDescent="0.25">
      <c r="B1" t="s">
        <v>61</v>
      </c>
      <c r="D1" t="s">
        <v>62</v>
      </c>
      <c r="F1" t="s">
        <v>63</v>
      </c>
      <c r="H1" t="s">
        <v>64</v>
      </c>
      <c r="J1" t="s">
        <v>65</v>
      </c>
      <c r="N1" t="s">
        <v>66</v>
      </c>
    </row>
    <row r="4" spans="1:14" x14ac:dyDescent="0.25">
      <c r="A4">
        <v>2</v>
      </c>
      <c r="B4" t="str">
        <f>MID(B$1,2,1)</f>
        <v>A</v>
      </c>
      <c r="C4">
        <v>2</v>
      </c>
      <c r="D4" t="str">
        <f>MID(D$1,2,1)</f>
        <v>A</v>
      </c>
      <c r="E4">
        <v>7</v>
      </c>
      <c r="F4" t="str">
        <f>MID(F$1,7,1)</f>
        <v>A</v>
      </c>
      <c r="G4">
        <v>1</v>
      </c>
      <c r="H4" t="str">
        <f>MID(H$1,1,1)</f>
        <v>A</v>
      </c>
      <c r="I4">
        <v>2</v>
      </c>
      <c r="J4" t="str">
        <f>MID(J$1,2,1)</f>
        <v>A</v>
      </c>
      <c r="K4" t="str">
        <f>MID($A4,7,1)</f>
        <v/>
      </c>
      <c r="L4" t="str">
        <f>MID($A4,8,1)</f>
        <v/>
      </c>
      <c r="M4">
        <v>1</v>
      </c>
      <c r="N4" t="str">
        <f>MID(N$1,1,1)</f>
        <v>A</v>
      </c>
    </row>
    <row r="5" spans="1:14" x14ac:dyDescent="0.25">
      <c r="A5">
        <v>4</v>
      </c>
      <c r="B5" t="str">
        <f>MID(B$1,4,1)</f>
        <v>E</v>
      </c>
      <c r="C5">
        <v>3</v>
      </c>
      <c r="D5" t="str">
        <f>MID(D$1,3,1)</f>
        <v>B</v>
      </c>
      <c r="E5">
        <v>4</v>
      </c>
      <c r="F5" t="str">
        <f>MID(F$1,4,1)</f>
        <v>D</v>
      </c>
      <c r="G5">
        <v>3</v>
      </c>
      <c r="H5" t="str">
        <f>MID(H$1,3,1)</f>
        <v>G</v>
      </c>
      <c r="I5">
        <v>1</v>
      </c>
      <c r="J5" t="str">
        <f>MID(J$1,1,1)</f>
        <v>H</v>
      </c>
      <c r="K5" t="str">
        <f t="shared" ref="K5:K12" si="0">MID($A5,7,1)</f>
        <v/>
      </c>
      <c r="L5" t="str">
        <f t="shared" ref="L5:L12" si="1">MID($A5,8,1)</f>
        <v/>
      </c>
      <c r="M5">
        <v>2</v>
      </c>
      <c r="N5" t="str">
        <f>MID(N$1,2,1)</f>
        <v>B</v>
      </c>
    </row>
    <row r="6" spans="1:14" x14ac:dyDescent="0.25">
      <c r="A6">
        <v>9</v>
      </c>
      <c r="B6" t="str">
        <f>MID(B$1,9,1)</f>
        <v>E</v>
      </c>
      <c r="C6">
        <v>1</v>
      </c>
      <c r="D6" t="str">
        <f>MID(D$1,1,1)</f>
        <v>F</v>
      </c>
      <c r="E6">
        <v>9</v>
      </c>
      <c r="F6" t="str">
        <f>MID(F$1,9,1)</f>
        <v>D</v>
      </c>
      <c r="G6">
        <v>8</v>
      </c>
      <c r="H6" t="str">
        <f>MID(H$1,8,1)</f>
        <v>H</v>
      </c>
      <c r="I6">
        <v>4</v>
      </c>
      <c r="J6" t="str">
        <f>MID(J$1,4,1)</f>
        <v>K</v>
      </c>
      <c r="K6" t="str">
        <f t="shared" si="0"/>
        <v/>
      </c>
      <c r="L6" t="str">
        <f t="shared" si="1"/>
        <v/>
      </c>
      <c r="M6">
        <v>3</v>
      </c>
      <c r="N6" t="str">
        <f>MID(N$1,3,1)</f>
        <v>C</v>
      </c>
    </row>
    <row r="7" spans="1:14" x14ac:dyDescent="0.25">
      <c r="A7">
        <v>7</v>
      </c>
      <c r="B7" t="str">
        <f>MID(B$1,7,1)</f>
        <v>I</v>
      </c>
      <c r="C7">
        <v>6</v>
      </c>
      <c r="D7" t="str">
        <f>MID(D$1,6,1)</f>
        <v>I</v>
      </c>
      <c r="E7">
        <v>2</v>
      </c>
      <c r="F7" t="str">
        <f>MID(F$1,2,1)</f>
        <v>E</v>
      </c>
      <c r="G7">
        <v>6</v>
      </c>
      <c r="H7" t="str">
        <f>MID(H$1,6,1)</f>
        <v>I</v>
      </c>
      <c r="I7">
        <v>6</v>
      </c>
      <c r="J7" t="str">
        <f>MID(J$1,6,1)</f>
        <v>M</v>
      </c>
      <c r="K7" t="str">
        <f t="shared" si="0"/>
        <v/>
      </c>
      <c r="L7" t="str">
        <f t="shared" si="1"/>
        <v/>
      </c>
      <c r="M7">
        <v>4</v>
      </c>
      <c r="N7" t="str">
        <f>MID(N$1,4,1)</f>
        <v>D</v>
      </c>
    </row>
    <row r="8" spans="1:14" x14ac:dyDescent="0.25">
      <c r="A8">
        <v>3</v>
      </c>
      <c r="B8" t="str">
        <f>MID(B$1,3,1)</f>
        <v>L</v>
      </c>
      <c r="C8">
        <v>5</v>
      </c>
      <c r="D8" t="str">
        <f>MID(D$1,5,1)</f>
        <v>L</v>
      </c>
      <c r="E8">
        <v>1</v>
      </c>
      <c r="F8" t="str">
        <f>MID(F$1,1,1)</f>
        <v>F</v>
      </c>
      <c r="G8">
        <v>2</v>
      </c>
      <c r="H8" t="str">
        <f>MID(H$1,2,1)</f>
        <v>L</v>
      </c>
      <c r="I8">
        <v>7</v>
      </c>
      <c r="J8" t="str">
        <f>MID(J$1,7,1)</f>
        <v>O</v>
      </c>
      <c r="K8" t="str">
        <f t="shared" si="0"/>
        <v/>
      </c>
      <c r="L8" t="str">
        <f t="shared" si="1"/>
        <v/>
      </c>
      <c r="M8">
        <v>5</v>
      </c>
      <c r="N8" t="str">
        <f>MID(N$1,5,1)</f>
        <v>E</v>
      </c>
    </row>
    <row r="9" spans="1:14" x14ac:dyDescent="0.25">
      <c r="A9">
        <v>5</v>
      </c>
      <c r="B9" t="str">
        <f>MID(B$1,5,1)</f>
        <v>N</v>
      </c>
      <c r="C9">
        <v>7</v>
      </c>
      <c r="D9" t="str">
        <f>MID(D$1,7,1)</f>
        <v>S</v>
      </c>
      <c r="E9">
        <v>5</v>
      </c>
      <c r="F9" t="str">
        <f>MID(F$1,5,1)</f>
        <v>I</v>
      </c>
      <c r="G9">
        <v>9</v>
      </c>
      <c r="H9" t="str">
        <f>MID(H$1,9,1)</f>
        <v>M</v>
      </c>
      <c r="I9">
        <v>8</v>
      </c>
      <c r="J9" t="str">
        <f>MID(J$1,8,1)</f>
        <v>O</v>
      </c>
      <c r="K9" t="str">
        <f t="shared" si="0"/>
        <v/>
      </c>
      <c r="L9" t="str">
        <f t="shared" si="1"/>
        <v/>
      </c>
      <c r="M9">
        <v>6</v>
      </c>
      <c r="N9" t="str">
        <f>MID(N$1,6,1)</f>
        <v>F</v>
      </c>
    </row>
    <row r="10" spans="1:14" x14ac:dyDescent="0.25">
      <c r="A10">
        <v>8</v>
      </c>
      <c r="B10" t="str">
        <f>MID(B$1,8,1)</f>
        <v>N</v>
      </c>
      <c r="C10">
        <v>9</v>
      </c>
      <c r="D10" t="str">
        <f>MID(D$1,9,1)</f>
        <v>S</v>
      </c>
      <c r="E10">
        <v>6</v>
      </c>
      <c r="F10" t="str">
        <f>MID(F$1,6,1)</f>
        <v>N</v>
      </c>
      <c r="G10">
        <v>4</v>
      </c>
      <c r="H10" t="str">
        <f>MID(H$1,4,1)</f>
        <v>O</v>
      </c>
      <c r="I10">
        <v>9</v>
      </c>
      <c r="J10" t="str">
        <f>MID(J$1,9,1)</f>
        <v>R</v>
      </c>
      <c r="K10" t="str">
        <f t="shared" si="0"/>
        <v/>
      </c>
      <c r="L10" t="str">
        <f t="shared" si="1"/>
        <v/>
      </c>
      <c r="M10">
        <v>7</v>
      </c>
      <c r="N10" t="str">
        <f>MID(N$1,7,1)</f>
        <v>G</v>
      </c>
    </row>
    <row r="11" spans="1:14" x14ac:dyDescent="0.25">
      <c r="A11">
        <v>6</v>
      </c>
      <c r="B11" t="str">
        <f>MID(B$1,6,1)</f>
        <v>T</v>
      </c>
      <c r="C11">
        <v>8</v>
      </c>
      <c r="D11" t="str">
        <f>MID(D$1,8,1)</f>
        <v>T</v>
      </c>
      <c r="E11">
        <v>8</v>
      </c>
      <c r="F11" t="str">
        <f>MID(F$1,8,1)</f>
        <v>N</v>
      </c>
      <c r="G11">
        <v>5</v>
      </c>
      <c r="H11" t="str">
        <f>MID(H$1,5,1)</f>
        <v>R</v>
      </c>
      <c r="I11">
        <v>5</v>
      </c>
      <c r="J11" t="str">
        <f>MID(J$1,5,1)</f>
        <v>S</v>
      </c>
      <c r="K11" t="str">
        <f t="shared" si="0"/>
        <v/>
      </c>
      <c r="L11" t="str">
        <f t="shared" si="1"/>
        <v/>
      </c>
      <c r="M11">
        <v>8</v>
      </c>
      <c r="N11" t="str">
        <f>MID(N$1,8,1)</f>
        <v>H</v>
      </c>
    </row>
    <row r="12" spans="1:14" x14ac:dyDescent="0.25">
      <c r="A12">
        <v>1</v>
      </c>
      <c r="B12" t="str">
        <f>MID(B$1,1,1)</f>
        <v>V</v>
      </c>
      <c r="C12">
        <v>4</v>
      </c>
      <c r="D12" t="str">
        <f>MID(D$1,4,1)</f>
        <v>U</v>
      </c>
      <c r="E12">
        <v>3</v>
      </c>
      <c r="F12" t="str">
        <f>MID(F$1,3,1)</f>
        <v>R</v>
      </c>
      <c r="G12">
        <v>7</v>
      </c>
      <c r="H12" t="str">
        <f>MID(H$1,7,1)</f>
        <v>T</v>
      </c>
      <c r="I12">
        <v>3</v>
      </c>
      <c r="J12" t="str">
        <f>MID(J$1,3,1)</f>
        <v>W</v>
      </c>
      <c r="K12" t="str">
        <f t="shared" si="0"/>
        <v/>
      </c>
      <c r="L12" t="str">
        <f t="shared" si="1"/>
        <v/>
      </c>
      <c r="M12">
        <v>9</v>
      </c>
      <c r="N12" t="str">
        <f>MID(N$1,9,1)</f>
        <v>I</v>
      </c>
    </row>
    <row r="19" spans="2:2" x14ac:dyDescent="0.25">
      <c r="B19" t="s">
        <v>69</v>
      </c>
    </row>
    <row r="20" spans="2:2" x14ac:dyDescent="0.25">
      <c r="B20" t="s">
        <v>106</v>
      </c>
    </row>
    <row r="21" spans="2:2" x14ac:dyDescent="0.25">
      <c r="B21" t="s">
        <v>90</v>
      </c>
    </row>
    <row r="22" spans="2:2" x14ac:dyDescent="0.25">
      <c r="B22" t="s">
        <v>87</v>
      </c>
    </row>
    <row r="23" spans="2:2" x14ac:dyDescent="0.25">
      <c r="B23" t="s">
        <v>77</v>
      </c>
    </row>
    <row r="24" spans="2:2" x14ac:dyDescent="0.25">
      <c r="B24" t="s">
        <v>115</v>
      </c>
    </row>
    <row r="25" spans="2:2" x14ac:dyDescent="0.25">
      <c r="B25" t="s">
        <v>73</v>
      </c>
    </row>
    <row r="30" spans="2:2" x14ac:dyDescent="0.25">
      <c r="B30" t="s">
        <v>117</v>
      </c>
    </row>
    <row r="31" spans="2:2" x14ac:dyDescent="0.25">
      <c r="B31" t="s">
        <v>138</v>
      </c>
    </row>
    <row r="32" spans="2:2" x14ac:dyDescent="0.25">
      <c r="B32" t="s">
        <v>126</v>
      </c>
    </row>
    <row r="33" spans="2:2" x14ac:dyDescent="0.25">
      <c r="B33" t="s">
        <v>133</v>
      </c>
    </row>
    <row r="34" spans="2:2" x14ac:dyDescent="0.25">
      <c r="B34" t="s">
        <v>123</v>
      </c>
    </row>
    <row r="39" spans="2:2" x14ac:dyDescent="0.25">
      <c r="B39" t="s">
        <v>104</v>
      </c>
    </row>
    <row r="40" spans="2:2" x14ac:dyDescent="0.25">
      <c r="B40" t="s">
        <v>107</v>
      </c>
    </row>
    <row r="41" spans="2:2" x14ac:dyDescent="0.25">
      <c r="B41" t="s">
        <v>124</v>
      </c>
    </row>
    <row r="42" spans="2:2" x14ac:dyDescent="0.25">
      <c r="B42" t="s">
        <v>116</v>
      </c>
    </row>
    <row r="44" spans="2:2" x14ac:dyDescent="0.25">
      <c r="B44" t="s">
        <v>105</v>
      </c>
    </row>
    <row r="45" spans="2:2" x14ac:dyDescent="0.25">
      <c r="B45" t="s">
        <v>67</v>
      </c>
    </row>
    <row r="46" spans="2:2" x14ac:dyDescent="0.25">
      <c r="B46" t="s">
        <v>101</v>
      </c>
    </row>
    <row r="48" spans="2:2" x14ac:dyDescent="0.25">
      <c r="B48" t="s">
        <v>120</v>
      </c>
    </row>
    <row r="49" spans="2:2" x14ac:dyDescent="0.25">
      <c r="B49" t="s">
        <v>135</v>
      </c>
    </row>
    <row r="50" spans="2:2" x14ac:dyDescent="0.25">
      <c r="B50" t="s">
        <v>134</v>
      </c>
    </row>
    <row r="51" spans="2:2" x14ac:dyDescent="0.25">
      <c r="B51" t="s">
        <v>131</v>
      </c>
    </row>
    <row r="52" spans="2:2" x14ac:dyDescent="0.25">
      <c r="B52" t="s">
        <v>83</v>
      </c>
    </row>
    <row r="53" spans="2:2" x14ac:dyDescent="0.25">
      <c r="B53" t="s">
        <v>72</v>
      </c>
    </row>
    <row r="54" spans="2:2" x14ac:dyDescent="0.25">
      <c r="B54" t="s">
        <v>121</v>
      </c>
    </row>
    <row r="55" spans="2:2" x14ac:dyDescent="0.25">
      <c r="B55" t="s">
        <v>74</v>
      </c>
    </row>
    <row r="56" spans="2:2" x14ac:dyDescent="0.25">
      <c r="B56" t="s">
        <v>132</v>
      </c>
    </row>
    <row r="57" spans="2:2" x14ac:dyDescent="0.25">
      <c r="B57" t="s">
        <v>102</v>
      </c>
    </row>
    <row r="58" spans="2:2" x14ac:dyDescent="0.25">
      <c r="B58" t="s">
        <v>139</v>
      </c>
    </row>
    <row r="59" spans="2:2" x14ac:dyDescent="0.25">
      <c r="B59" t="s">
        <v>112</v>
      </c>
    </row>
    <row r="60" spans="2:2" x14ac:dyDescent="0.25">
      <c r="B60" t="s">
        <v>91</v>
      </c>
    </row>
    <row r="61" spans="2:2" x14ac:dyDescent="0.25">
      <c r="B61" t="s">
        <v>91</v>
      </c>
    </row>
    <row r="62" spans="2:2" x14ac:dyDescent="0.25">
      <c r="B62" t="s">
        <v>68</v>
      </c>
    </row>
    <row r="69" spans="2:2" x14ac:dyDescent="0.25">
      <c r="B69" t="s">
        <v>136</v>
      </c>
    </row>
    <row r="70" spans="2:2" x14ac:dyDescent="0.25">
      <c r="B70" t="s">
        <v>118</v>
      </c>
    </row>
    <row r="71" spans="2:2" x14ac:dyDescent="0.25">
      <c r="B71" t="s">
        <v>93</v>
      </c>
    </row>
    <row r="72" spans="2:2" x14ac:dyDescent="0.25">
      <c r="B72" t="s">
        <v>82</v>
      </c>
    </row>
    <row r="73" spans="2:2" x14ac:dyDescent="0.25">
      <c r="B73" t="s">
        <v>127</v>
      </c>
    </row>
    <row r="74" spans="2:2" x14ac:dyDescent="0.25">
      <c r="B74" t="s">
        <v>99</v>
      </c>
    </row>
    <row r="75" spans="2:2" x14ac:dyDescent="0.25">
      <c r="B75" t="s">
        <v>140</v>
      </c>
    </row>
    <row r="76" spans="2:2" x14ac:dyDescent="0.25">
      <c r="B76" t="s">
        <v>113</v>
      </c>
    </row>
    <row r="77" spans="2:2" x14ac:dyDescent="0.25">
      <c r="B77" t="s">
        <v>76</v>
      </c>
    </row>
    <row r="79" spans="2:2" x14ac:dyDescent="0.25">
      <c r="B79" t="s">
        <v>89</v>
      </c>
    </row>
    <row r="80" spans="2:2" x14ac:dyDescent="0.25">
      <c r="B80" t="s">
        <v>137</v>
      </c>
    </row>
    <row r="81" spans="2:2" x14ac:dyDescent="0.25">
      <c r="B81" t="s">
        <v>70</v>
      </c>
    </row>
    <row r="83" spans="2:2" x14ac:dyDescent="0.25">
      <c r="B83" t="s">
        <v>96</v>
      </c>
    </row>
    <row r="84" spans="2:2" x14ac:dyDescent="0.25">
      <c r="B84" t="s">
        <v>114</v>
      </c>
    </row>
    <row r="85" spans="2:2" x14ac:dyDescent="0.25">
      <c r="B85" t="s">
        <v>130</v>
      </c>
    </row>
    <row r="86" spans="2:2" x14ac:dyDescent="0.25">
      <c r="B86" t="s">
        <v>78</v>
      </c>
    </row>
    <row r="87" spans="2:2" x14ac:dyDescent="0.25">
      <c r="B87" t="s">
        <v>108</v>
      </c>
    </row>
    <row r="88" spans="2:2" x14ac:dyDescent="0.25">
      <c r="B88" t="s">
        <v>75</v>
      </c>
    </row>
    <row r="89" spans="2:2" x14ac:dyDescent="0.25">
      <c r="B89" t="s">
        <v>79</v>
      </c>
    </row>
    <row r="90" spans="2:2" x14ac:dyDescent="0.25">
      <c r="B90" t="s">
        <v>86</v>
      </c>
    </row>
    <row r="91" spans="2:2" x14ac:dyDescent="0.25">
      <c r="B91" t="s">
        <v>85</v>
      </c>
    </row>
    <row r="92" spans="2:2" x14ac:dyDescent="0.25">
      <c r="B92" t="s">
        <v>110</v>
      </c>
    </row>
    <row r="93" spans="2:2" x14ac:dyDescent="0.25">
      <c r="B93" t="s">
        <v>88</v>
      </c>
    </row>
    <row r="95" spans="2:2" x14ac:dyDescent="0.25">
      <c r="B95" t="s">
        <v>119</v>
      </c>
    </row>
    <row r="96" spans="2:2" x14ac:dyDescent="0.25">
      <c r="B96" t="s">
        <v>84</v>
      </c>
    </row>
    <row r="97" spans="2:2" x14ac:dyDescent="0.25">
      <c r="B97" t="s">
        <v>81</v>
      </c>
    </row>
    <row r="99" spans="2:2" x14ac:dyDescent="0.25">
      <c r="B99" t="s">
        <v>92</v>
      </c>
    </row>
    <row r="100" spans="2:2" x14ac:dyDescent="0.25">
      <c r="B100" t="s">
        <v>111</v>
      </c>
    </row>
    <row r="103" spans="2:2" x14ac:dyDescent="0.25">
      <c r="B103" t="s">
        <v>122</v>
      </c>
    </row>
    <row r="104" spans="2:2" x14ac:dyDescent="0.25">
      <c r="B104" t="s">
        <v>128</v>
      </c>
    </row>
    <row r="105" spans="2:2" x14ac:dyDescent="0.25">
      <c r="B105" t="s">
        <v>109</v>
      </c>
    </row>
    <row r="106" spans="2:2" x14ac:dyDescent="0.25">
      <c r="B106" t="s">
        <v>100</v>
      </c>
    </row>
    <row r="107" spans="2:2" x14ac:dyDescent="0.25">
      <c r="B107" t="s">
        <v>98</v>
      </c>
    </row>
    <row r="108" spans="2:2" x14ac:dyDescent="0.25">
      <c r="B108" t="s">
        <v>103</v>
      </c>
    </row>
    <row r="109" spans="2:2" x14ac:dyDescent="0.25">
      <c r="B109" t="s">
        <v>95</v>
      </c>
    </row>
    <row r="110" spans="2:2" x14ac:dyDescent="0.25">
      <c r="B110" t="s">
        <v>80</v>
      </c>
    </row>
    <row r="111" spans="2:2" x14ac:dyDescent="0.25">
      <c r="B111" t="s">
        <v>129</v>
      </c>
    </row>
    <row r="112" spans="2:2" x14ac:dyDescent="0.25">
      <c r="B112" t="s">
        <v>94</v>
      </c>
    </row>
    <row r="115" spans="2:2" x14ac:dyDescent="0.25">
      <c r="B115" t="s">
        <v>97</v>
      </c>
    </row>
    <row r="116" spans="2:2" x14ac:dyDescent="0.25">
      <c r="B116" t="s">
        <v>125</v>
      </c>
    </row>
    <row r="117" spans="2:2" x14ac:dyDescent="0.25">
      <c r="B117" t="s">
        <v>71</v>
      </c>
    </row>
  </sheetData>
  <sortState ref="B19:B117">
    <sortCondition ref="B19:B11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5"/>
  <sheetViews>
    <sheetView workbookViewId="0">
      <selection sqref="A1:I25"/>
    </sheetView>
  </sheetViews>
  <sheetFormatPr defaultRowHeight="15" x14ac:dyDescent="0.25"/>
  <sheetData>
    <row r="1" spans="1:9" x14ac:dyDescent="0.25">
      <c r="A1" t="s">
        <v>141</v>
      </c>
      <c r="B1" t="s">
        <v>154</v>
      </c>
      <c r="C1" t="s">
        <v>157</v>
      </c>
    </row>
    <row r="2" spans="1:9" x14ac:dyDescent="0.25">
      <c r="A2" s="31" t="s">
        <v>142</v>
      </c>
    </row>
    <row r="3" spans="1:9" x14ac:dyDescent="0.25">
      <c r="A3" t="s">
        <v>143</v>
      </c>
      <c r="B3" t="s">
        <v>141</v>
      </c>
      <c r="C3" t="s">
        <v>146</v>
      </c>
      <c r="D3" t="s">
        <v>147</v>
      </c>
      <c r="E3" t="s">
        <v>148</v>
      </c>
      <c r="F3" t="s">
        <v>149</v>
      </c>
      <c r="G3" t="s">
        <v>152</v>
      </c>
      <c r="H3" t="s">
        <v>154</v>
      </c>
      <c r="I3" t="s">
        <v>155</v>
      </c>
    </row>
    <row r="4" spans="1:9" x14ac:dyDescent="0.25">
      <c r="A4" t="s">
        <v>144</v>
      </c>
      <c r="B4" t="s">
        <v>147</v>
      </c>
      <c r="C4" t="s">
        <v>148</v>
      </c>
      <c r="D4" t="s">
        <v>149</v>
      </c>
      <c r="E4" t="s">
        <v>152</v>
      </c>
    </row>
    <row r="5" spans="1:9" x14ac:dyDescent="0.25">
      <c r="A5" s="31" t="s">
        <v>145</v>
      </c>
    </row>
    <row r="6" spans="1:9" x14ac:dyDescent="0.25">
      <c r="A6" t="s">
        <v>146</v>
      </c>
      <c r="B6" t="s">
        <v>141</v>
      </c>
      <c r="C6" t="s">
        <v>143</v>
      </c>
      <c r="D6" t="s">
        <v>147</v>
      </c>
      <c r="E6" t="s">
        <v>148</v>
      </c>
      <c r="F6" t="s">
        <v>154</v>
      </c>
      <c r="G6" t="s">
        <v>155</v>
      </c>
      <c r="H6" t="s">
        <v>156</v>
      </c>
    </row>
    <row r="7" spans="1:9" x14ac:dyDescent="0.25">
      <c r="A7" t="s">
        <v>147</v>
      </c>
      <c r="B7" t="s">
        <v>142</v>
      </c>
      <c r="C7" t="s">
        <v>144</v>
      </c>
      <c r="D7" t="s">
        <v>150</v>
      </c>
      <c r="E7" t="s">
        <v>151</v>
      </c>
      <c r="F7" t="s">
        <v>158</v>
      </c>
    </row>
    <row r="8" spans="1:9" x14ac:dyDescent="0.25">
      <c r="A8" t="s">
        <v>148</v>
      </c>
      <c r="B8" t="s">
        <v>141</v>
      </c>
      <c r="C8" t="s">
        <v>143</v>
      </c>
      <c r="D8" t="s">
        <v>145</v>
      </c>
      <c r="E8" t="s">
        <v>147</v>
      </c>
      <c r="F8" t="s">
        <v>152</v>
      </c>
      <c r="G8" t="s">
        <v>155</v>
      </c>
      <c r="H8" t="s">
        <v>156</v>
      </c>
      <c r="I8" t="s">
        <v>157</v>
      </c>
    </row>
    <row r="9" spans="1:9" x14ac:dyDescent="0.25">
      <c r="A9" t="s">
        <v>149</v>
      </c>
      <c r="B9" t="s">
        <v>157</v>
      </c>
    </row>
    <row r="10" spans="1:9" x14ac:dyDescent="0.25">
      <c r="A10" t="s">
        <v>150</v>
      </c>
      <c r="B10" t="s">
        <v>141</v>
      </c>
      <c r="C10" t="s">
        <v>147</v>
      </c>
      <c r="D10" t="s">
        <v>148</v>
      </c>
      <c r="E10" t="s">
        <v>149</v>
      </c>
      <c r="F10" t="s">
        <v>152</v>
      </c>
      <c r="G10" t="s">
        <v>155</v>
      </c>
    </row>
    <row r="11" spans="1:9" x14ac:dyDescent="0.25">
      <c r="A11" t="s">
        <v>151</v>
      </c>
      <c r="B11" t="s">
        <v>141</v>
      </c>
      <c r="C11" t="s">
        <v>146</v>
      </c>
      <c r="D11" t="s">
        <v>152</v>
      </c>
      <c r="E11" t="s">
        <v>154</v>
      </c>
      <c r="F11" t="s">
        <v>155</v>
      </c>
    </row>
    <row r="12" spans="1:9" x14ac:dyDescent="0.25">
      <c r="A12" t="s">
        <v>152</v>
      </c>
      <c r="B12" t="s">
        <v>157</v>
      </c>
    </row>
    <row r="13" spans="1:9" x14ac:dyDescent="0.25">
      <c r="A13" t="s">
        <v>153</v>
      </c>
      <c r="B13" t="s">
        <v>141</v>
      </c>
      <c r="C13" t="s">
        <v>146</v>
      </c>
      <c r="D13" t="s">
        <v>148</v>
      </c>
      <c r="E13" t="s">
        <v>152</v>
      </c>
      <c r="F13" t="s">
        <v>155</v>
      </c>
    </row>
    <row r="14" spans="1:9" x14ac:dyDescent="0.25">
      <c r="A14" t="s">
        <v>154</v>
      </c>
      <c r="B14" t="s">
        <v>150</v>
      </c>
      <c r="C14" t="s">
        <v>151</v>
      </c>
      <c r="D14" t="s">
        <v>157</v>
      </c>
    </row>
    <row r="15" spans="1:9" x14ac:dyDescent="0.25">
      <c r="A15" t="s">
        <v>155</v>
      </c>
      <c r="B15" t="s">
        <v>154</v>
      </c>
      <c r="C15" t="s">
        <v>157</v>
      </c>
    </row>
    <row r="16" spans="1:9" x14ac:dyDescent="0.25">
      <c r="A16" t="s">
        <v>156</v>
      </c>
      <c r="B16" t="s">
        <v>143</v>
      </c>
    </row>
    <row r="17" spans="1:6" x14ac:dyDescent="0.25">
      <c r="A17" t="s">
        <v>157</v>
      </c>
      <c r="B17" t="s">
        <v>154</v>
      </c>
    </row>
    <row r="18" spans="1:6" x14ac:dyDescent="0.25">
      <c r="A18" t="s">
        <v>158</v>
      </c>
      <c r="B18" t="s">
        <v>141</v>
      </c>
      <c r="C18" t="s">
        <v>148</v>
      </c>
      <c r="D18" t="s">
        <v>154</v>
      </c>
      <c r="E18" t="s">
        <v>156</v>
      </c>
    </row>
    <row r="19" spans="1:6" x14ac:dyDescent="0.25">
      <c r="A19" s="31" t="s">
        <v>159</v>
      </c>
      <c r="B19" t="s">
        <v>141</v>
      </c>
      <c r="C19" t="s">
        <v>148</v>
      </c>
      <c r="D19" t="s">
        <v>146</v>
      </c>
      <c r="E19" t="s">
        <v>154</v>
      </c>
    </row>
    <row r="20" spans="1:6" x14ac:dyDescent="0.25">
      <c r="A20" s="31" t="s">
        <v>160</v>
      </c>
    </row>
    <row r="25" spans="1:6" x14ac:dyDescent="0.25">
      <c r="A25" t="s">
        <v>161</v>
      </c>
      <c r="B25" t="s">
        <v>162</v>
      </c>
      <c r="C25" t="s">
        <v>163</v>
      </c>
      <c r="D25" t="s">
        <v>164</v>
      </c>
      <c r="E25" t="s">
        <v>165</v>
      </c>
      <c r="F25" t="s">
        <v>166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2013-01-04T22:09:22Z</dcterms:modified>
</cp:coreProperties>
</file>